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Fact_Trips" sheetId="2" state="visible" r:id="rId4"/>
    <sheet name="Bridge_Trip_Site" sheetId="3" state="visible" r:id="rId5"/>
    <sheet name="Bridge_Trip_Date" sheetId="4" state="visible" r:id="rId6"/>
    <sheet name="Dim_Site" sheetId="5" state="visible" r:id="rId7"/>
    <sheet name="Dim_Department" sheetId="6" state="visible" r:id="rId8"/>
    <sheet name="Dim_Vehicle" sheetId="7" state="visible" r:id="rId9"/>
    <sheet name="Dim_Date" sheetId="8" state="visible" r:id="rId10"/>
    <sheet name="Data Issues" sheetId="9" state="visible" r:id="rId11"/>
    <sheet name="Schedule Organiser" sheetId="10" state="visible" r:id="rId12"/>
  </sheets>
  <definedNames>
    <definedName function="false" hidden="true" localSheetId="3" name="_xlnm._FilterDatabase" vbProcedure="false">Bridge_Trip_Date!$A$1:$C$1247</definedName>
    <definedName function="false" hidden="true" localSheetId="2" name="_xlnm._FilterDatabase" vbProcedure="false">Bridge_Trip_Site!$A$1:$C$314</definedName>
    <definedName function="false" hidden="true" localSheetId="8" name="_xlnm._FilterDatabase" vbProcedure="false">'Data Issues'!$A$1:$H$21</definedName>
    <definedName function="false" hidden="true" localSheetId="7" name="_xlnm._FilterDatabase" vbProcedure="false">Dim_Date!$A$1:$H$732</definedName>
    <definedName function="false" hidden="true" localSheetId="4" name="_xlnm._FilterDatabase" vbProcedure="false">Dim_Site!$A$1:$H$106</definedName>
    <definedName function="false" hidden="true" localSheetId="1" name="_xlnm._FilterDatabase" vbProcedure="false">Fact_Trips!$A$1:$AB$189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<sst xmlns="http://schemas.openxmlformats.org/spreadsheetml/2006/main" count="6700" uniqueCount="1146">
  <si>
    <t xml:space="preserve">FHWS student transport to clinical sites: standardised workbook (AY2024 + AY2025)</t>
  </si>
  <si>
    <t xml:space="preserve">Purpose</t>
  </si>
  <si>
    <t xml:space="preserve">Standard format for FHWS transport requests so AY2024 and AY2025 can be analysed together in Excel and later loaded into Power BI.</t>
  </si>
  <si>
    <t xml:space="preserve">Sources</t>
  </si>
  <si>
    <t xml:space="preserve">FHWS__Transport_requests_AY2024_19_Aug_2024.xlsx (92 request lines) and FHWS_Transport_requirements_to_clinical_sites_AY2025.docx (requirements only).</t>
  </si>
  <si>
    <t xml:space="preserve">Fact_Trips</t>
  </si>
  <si>
    <t xml:space="preserve">One row per request line (a route on a block of dates). AY2024: 92 request lines with TSQT, units and cost. AY2025: 96 requirement lines, one per site, without TSQT, dates or cost (Record_Type tells them apart). Filter on Record_Type before summing trips or cost.</t>
  </si>
  <si>
    <t xml:space="preserve">Bridge_Trip_Site</t>
  </si>
  <si>
    <t xml:space="preserve">Links each Fact_Trips line to the sites on its route (a route can visit several sites).</t>
  </si>
  <si>
    <t xml:space="preserve">Bridge_Trip_Date</t>
  </si>
  <si>
    <t xml:space="preserve">AY2024 trip days parsed from the date text, for date-level analysis (clashes by site and day). Reconciled_To_Units = No means the dates do not match units booked; see Data Issues.</t>
  </si>
  <si>
    <t xml:space="preserve">Dim_Department / Dim_Vehicle / Dim_Site / Dim_Date</t>
  </si>
  <si>
    <t xml:space="preserve">Lookup tables. Keys: Dept_ID, Vehicle_ID, Site_ID, Date.</t>
  </si>
  <si>
    <t xml:space="preserve">Data Issues</t>
  </si>
  <si>
    <t xml:space="preserve">Hand-over log: every problem found, how it was treated here and what needs confirming.</t>
  </si>
  <si>
    <t xml:space="preserve">Schedule Organiser</t>
  </si>
  <si>
    <t xml:space="preserve">Dummy planning template with drop-downs and a flag when two departments book the same site on the same day.</t>
  </si>
  <si>
    <t xml:space="preserve">Reconciliation</t>
  </si>
  <si>
    <t xml:space="preserve">Total_Cost for AY2024 equals the 1,620,700 total in the source file (checked: Fact_Trips total row).</t>
  </si>
  <si>
    <t xml:space="preserve">Key assumptions</t>
  </si>
  <si>
    <t xml:space="preserve">Units is the smaller of the cost-per-unit/units pair; 'number of students' read as vehicle capacity; blank TSQT/department filled down; SA public holidays as in Dim_Date; 2026 data not included. Details in Data Issues.</t>
  </si>
  <si>
    <t xml:space="preserve">Assumptions: AY2025 costs</t>
  </si>
  <si>
    <t xml:space="preserve">Assumed cost per trip, AY2025 site not served by the department in AY2024</t>
  </si>
  <si>
    <t xml:space="preserve">Rule</t>
  </si>
  <si>
    <t xml:space="preserve">AY2025 lines take the AY2024 cost per trip of the same department's trip to the same site. If that AY2024 trip visited several sites, its cost is divided across them. Sites the department did not serve in AY2024 use the cell above. Trips (units) for AY2025 are still blank, so AY2025 Total_Cost stays blank.</t>
  </si>
  <si>
    <t xml:space="preserve">Trip_ID</t>
  </si>
  <si>
    <t xml:space="preserve">AY</t>
  </si>
  <si>
    <t xml:space="preserve">Record_Type</t>
  </si>
  <si>
    <t xml:space="preserve">Dept_ID</t>
  </si>
  <si>
    <t xml:space="preserve">Dept_Code</t>
  </si>
  <si>
    <t xml:space="preserve">Vehicle_ID</t>
  </si>
  <si>
    <t xml:space="preserve">TSQT_Number</t>
  </si>
  <si>
    <t xml:space="preserve">TSQT_Source</t>
  </si>
  <si>
    <t xml:space="preserve">Start_Date</t>
  </si>
  <si>
    <t xml:space="preserve">End_Date</t>
  </si>
  <si>
    <t xml:space="preserve">Dates_As_Captured</t>
  </si>
  <si>
    <t xml:space="preserve">Parsed_Trip_Days</t>
  </si>
  <si>
    <t xml:space="preserve">Trips</t>
  </si>
  <si>
    <t xml:space="preserve">Date_Check</t>
  </si>
  <si>
    <t xml:space="preserve">Depart_Time</t>
  </si>
  <si>
    <t xml:space="preserve">Return_Time</t>
  </si>
  <si>
    <t xml:space="preserve">Shift_Type</t>
  </si>
  <si>
    <t xml:space="preserve">Times_As_Captured</t>
  </si>
  <si>
    <t xml:space="preserve">Students_As_Captured</t>
  </si>
  <si>
    <t xml:space="preserve">Direction</t>
  </si>
  <si>
    <t xml:space="preserve">Route_As_Captured</t>
  </si>
  <si>
    <t xml:space="preserve">Sites_In_Route</t>
  </si>
  <si>
    <t xml:space="preserve">Cost_Per_Trip</t>
  </si>
  <si>
    <t xml:space="preserve">Total_Cost</t>
  </si>
  <si>
    <t xml:space="preserve">Source_Row_AY2024</t>
  </si>
  <si>
    <t xml:space="preserve">Cost_Basis</t>
  </si>
  <si>
    <t xml:space="preserve">Cost_Source_Trip_IDs</t>
  </si>
  <si>
    <t xml:space="preserve">Cost_Note</t>
  </si>
  <si>
    <t xml:space="preserve">T2024-001</t>
  </si>
  <si>
    <t xml:space="preserve">AY2024</t>
  </si>
  <si>
    <t xml:space="preserve">Request (AY2024)</t>
  </si>
  <si>
    <t xml:space="preserve">V03</t>
  </si>
  <si>
    <t xml:space="preserve">TSQT0002930</t>
  </si>
  <si>
    <t xml:space="preserve">Stated</t>
  </si>
  <si>
    <t xml:space="preserve">01 April 2024</t>
  </si>
  <si>
    <t xml:space="preserve">Single date</t>
  </si>
  <si>
    <t xml:space="preserve">One way / collection only</t>
  </si>
  <si>
    <t xml:space="preserve">pick up 12h00 one way</t>
  </si>
  <si>
    <t xml:space="preserve">One way from South Point, Belhar</t>
  </si>
  <si>
    <t xml:space="preserve">South Point, Belhar to Worcester hospital (Drop off</t>
  </si>
  <si>
    <t xml:space="preserve">Quoted (TSQT)</t>
  </si>
  <si>
    <t xml:space="preserve">T2024-002</t>
  </si>
  <si>
    <t xml:space="preserve">11 May 2024</t>
  </si>
  <si>
    <t xml:space="preserve">Collect at 12h00</t>
  </si>
  <si>
    <t xml:space="preserve">One way to South Point, Belhar (collection)</t>
  </si>
  <si>
    <t xml:space="preserve">Worester hospital to South Point, Belhar (Collect</t>
  </si>
  <si>
    <t xml:space="preserve">T2024-003</t>
  </si>
  <si>
    <t xml:space="preserve">V04</t>
  </si>
  <si>
    <t xml:space="preserve">TSQT0002931</t>
  </si>
  <si>
    <t xml:space="preserve">02-12 April 2024</t>
  </si>
  <si>
    <t xml:space="preserve">Matches units (9)</t>
  </si>
  <si>
    <t xml:space="preserve">Day</t>
  </si>
  <si>
    <t xml:space="preserve">05h30 return 19h30</t>
  </si>
  <si>
    <t xml:space="preserve">Return from Bellville Campus</t>
  </si>
  <si>
    <t xml:space="preserve">Bellville Campus to Tygerberg and Karl Bremmer hospitals and return</t>
  </si>
  <si>
    <t xml:space="preserve">T2024-004</t>
  </si>
  <si>
    <t xml:space="preserve">02-30 April to 10 May 2024</t>
  </si>
  <si>
    <t xml:space="preserve">Matches units (28)</t>
  </si>
  <si>
    <t xml:space="preserve">05h30 return 16h30</t>
  </si>
  <si>
    <t xml:space="preserve">Bellville Campus to New Somerset hospital and return</t>
  </si>
  <si>
    <t xml:space="preserve">T2024-005</t>
  </si>
  <si>
    <t xml:space="preserve">TSQT0002955</t>
  </si>
  <si>
    <t xml:space="preserve">02 - 30 April 2024 to 10 May 2024</t>
  </si>
  <si>
    <t xml:space="preserve">Bellville Campus to Mitchell's Plain, Michael M, Site B, Kuyasa, Nolungile, Rocklands, Lentegeur clinics and return</t>
  </si>
  <si>
    <t xml:space="preserve">T2024-006</t>
  </si>
  <si>
    <t xml:space="preserve">02-12, 15-26 April 2024</t>
  </si>
  <si>
    <t xml:space="preserve">Matches units (19)</t>
  </si>
  <si>
    <t xml:space="preserve">Bellville Campus to Lotus River, Retreat, Lady Michaelis, D6 clinic and retur</t>
  </si>
  <si>
    <t xml:space="preserve">T2024-007</t>
  </si>
  <si>
    <t xml:space="preserve">02-12, 29 &amp; 30 April to 10 May 2024</t>
  </si>
  <si>
    <t xml:space="preserve">Matches units (18)</t>
  </si>
  <si>
    <t xml:space="preserve">Bellville Campus to Vanguard, Langa, Lansdowne, Nyanga, Gugulethu and return</t>
  </si>
  <si>
    <t xml:space="preserve">T2024-008</t>
  </si>
  <si>
    <t xml:space="preserve">TSQT0002956</t>
  </si>
  <si>
    <t xml:space="preserve">Bellville Campus to Reed Street, Parow, Dirkie Uys, Ruyterwacht, Ravensmead, Elsie</t>
  </si>
  <si>
    <t xml:space="preserve">T2024-009</t>
  </si>
  <si>
    <t xml:space="preserve">Bellville Campus Campus to St Vincent, Symphony, Kasselsvlei, Scottsdene and return</t>
  </si>
  <si>
    <t xml:space="preserve">T2024-010</t>
  </si>
  <si>
    <t xml:space="preserve">MISMATCH: 28 dates parsed vs 9 units booked</t>
  </si>
  <si>
    <t xml:space="preserve">Bellville Campus to Strand, Macassar &amp; Gustrow and return</t>
  </si>
  <si>
    <t xml:space="preserve">T2024-011</t>
  </si>
  <si>
    <t xml:space="preserve">V01</t>
  </si>
  <si>
    <t xml:space="preserve">TSQT0002959</t>
  </si>
  <si>
    <t xml:space="preserve">25 - 28 March 2024</t>
  </si>
  <si>
    <t xml:space="preserve">Matches units (4)</t>
  </si>
  <si>
    <t xml:space="preserve">16h30</t>
  </si>
  <si>
    <t xml:space="preserve">One way to Bellville Campus</t>
  </si>
  <si>
    <t xml:space="preserve">Retreat, Gugulethu, Vanguard to drop off at Bellville Campus</t>
  </si>
  <si>
    <t xml:space="preserve">T2024-012</t>
  </si>
  <si>
    <t xml:space="preserve">Macassar, Michael M, Site B, Mitchell's Plain drop off at Bellville Campus</t>
  </si>
  <si>
    <t xml:space="preserve">T2024-013</t>
  </si>
  <si>
    <t xml:space="preserve">V02</t>
  </si>
  <si>
    <t xml:space="preserve">TSQT0002978</t>
  </si>
  <si>
    <t xml:space="preserve">23 &amp;30 April 2024</t>
  </si>
  <si>
    <t xml:space="preserve">Matches units (2)</t>
  </si>
  <si>
    <t xml:space="preserve">Day and night shifts</t>
  </si>
  <si>
    <t xml:space="preserve">06h00 &amp; 18h00 return 18h00 &amp; 06h00</t>
  </si>
  <si>
    <t xml:space="preserve">Bellville Campus to Eersteriver hospital and back</t>
  </si>
  <si>
    <t xml:space="preserve">T2024-014</t>
  </si>
  <si>
    <t xml:space="preserve">12, 13, 14, 16, 18, 19, 20, 21, 26, 27, 28 April &amp; 03, 04, 05, 11, 17, 18, 19, 24, 25, 26, 31 May &amp; 01, 02, 08, 09, 14, 15, 16, 21 June 2024</t>
  </si>
  <si>
    <t xml:space="preserve">Matches units (30)</t>
  </si>
  <si>
    <t xml:space="preserve">Bellville Campus to Khayelitsha hospital and back</t>
  </si>
  <si>
    <t xml:space="preserve">T2024-015</t>
  </si>
  <si>
    <t xml:space="preserve">13, 14, 16, 18, 19, 20, 23, 30 April &amp; 02, 04, 07, 11, 14, 18, 25 May &amp; 15 June 2024</t>
  </si>
  <si>
    <t xml:space="preserve">Matches units (16)</t>
  </si>
  <si>
    <t xml:space="preserve">Bellville Campus to Groote Schuur hospital and back</t>
  </si>
  <si>
    <t xml:space="preserve">T2024-016</t>
  </si>
  <si>
    <t xml:space="preserve">12, 13, 14, 16, 18, 20, 23, 25, 26, 27, 30 April &amp; 01, 04, 05, 09 ,10, 11, 14, 18, 19, 25, 26 May &amp; 01, 02, 09, 15 June 2024</t>
  </si>
  <si>
    <t xml:space="preserve">Matches units (26)</t>
  </si>
  <si>
    <t xml:space="preserve">Bellville Campus to Tygerberg &amp; Karl Bremmer hospitals and back</t>
  </si>
  <si>
    <t xml:space="preserve">T2024-017</t>
  </si>
  <si>
    <t xml:space="preserve">TSQT0003071</t>
  </si>
  <si>
    <t xml:space="preserve">13, 27 April, 03, 11, 18, 25, 26 May, 02, 15 &amp; 29 June 2024</t>
  </si>
  <si>
    <t xml:space="preserve">Matches units (10)</t>
  </si>
  <si>
    <t xml:space="preserve">Bellville Campus to Mitchell's Plain hospital and back</t>
  </si>
  <si>
    <t xml:space="preserve">T2024-018</t>
  </si>
  <si>
    <t xml:space="preserve">12, 14, 21, 26, 27 April, 11, 18, 25 May &amp; 16 June 2024</t>
  </si>
  <si>
    <t xml:space="preserve">Bellville Campus to Pinelands EMS Base and back</t>
  </si>
  <si>
    <t xml:space="preserve">T2024-019</t>
  </si>
  <si>
    <t xml:space="preserve">03, 04, 11, 24, 25 May, 08 June 2024</t>
  </si>
  <si>
    <t xml:space="preserve">Matches units (6)</t>
  </si>
  <si>
    <t xml:space="preserve">Bellville Campus to Gugulethu hospital and back</t>
  </si>
  <si>
    <t xml:space="preserve">T2024-020</t>
  </si>
  <si>
    <t xml:space="preserve">TSQT0003107</t>
  </si>
  <si>
    <t xml:space="preserve">05, 11, 18, 19, May &amp; 08, 09, 15, 17 June 2024</t>
  </si>
  <si>
    <t xml:space="preserve">Matches units (8)</t>
  </si>
  <si>
    <t xml:space="preserve">07h00 return 16h00</t>
  </si>
  <si>
    <t xml:space="preserve">Bellville campus to Groote Schuur hospital and back</t>
  </si>
  <si>
    <t xml:space="preserve">T2024-021</t>
  </si>
  <si>
    <t xml:space="preserve">06, 07, 09 May &amp; 09, 10, 12, 17, 19 June 2024</t>
  </si>
  <si>
    <t xml:space="preserve">MISMATCH: 8 dates parsed vs 9 units booked</t>
  </si>
  <si>
    <t xml:space="preserve">Night duty</t>
  </si>
  <si>
    <t xml:space="preserve">18h00 return 07h00</t>
  </si>
  <si>
    <t xml:space="preserve">T2024-022</t>
  </si>
  <si>
    <t xml:space="preserve">06, 07, 08, 09, 10, 20, 21, 22, 23 May &amp; 10, 11, 12, 13, 14, 18, 19, 20, 21 June 202</t>
  </si>
  <si>
    <t xml:space="preserve">06h00 return16h00</t>
  </si>
  <si>
    <t xml:space="preserve">Bellville campus to New Somerset, Mowbray and Red Cross hospitals and back</t>
  </si>
  <si>
    <t xml:space="preserve">T2024-023</t>
  </si>
  <si>
    <t xml:space="preserve">13, 14, 16 May 2024</t>
  </si>
  <si>
    <t xml:space="preserve">Matches units (3)</t>
  </si>
  <si>
    <t xml:space="preserve">-Bellville Campus to New Somerset hospital and return</t>
  </si>
  <si>
    <t xml:space="preserve">T2024-024</t>
  </si>
  <si>
    <t xml:space="preserve">06h30 return 16h00</t>
  </si>
  <si>
    <t xml:space="preserve">Bellville campus to Khayelitsha District hospital and bac</t>
  </si>
  <si>
    <t xml:space="preserve">T2024-025</t>
  </si>
  <si>
    <t xml:space="preserve">20, 21, 22, 23 May &amp; 18, 19, 20, 21 June 2024</t>
  </si>
  <si>
    <t xml:space="preserve">Bellville campus to Kraaifontein CHC and back</t>
  </si>
  <si>
    <t xml:space="preserve">T2024-026</t>
  </si>
  <si>
    <t xml:space="preserve">06, 07, 08, 09, 10, 13, 14, 15, 16, 17, 20, 21, 22, 23 May &amp; 18, 19, 20, 21 June 2024</t>
  </si>
  <si>
    <t xml:space="preserve">06h00 return 16h00</t>
  </si>
  <si>
    <t xml:space="preserve">Bellville Campus to Karl Bremmer hospital and return</t>
  </si>
  <si>
    <t xml:space="preserve">T2024-027</t>
  </si>
  <si>
    <t xml:space="preserve">06, 07, 09, 13, 14, 16 May &amp; 09, 10, 12 June 2024</t>
  </si>
  <si>
    <t xml:space="preserve">Bellville Campus to Tygerberg hospital and return</t>
  </si>
  <si>
    <t xml:space="preserve">T2024-028</t>
  </si>
  <si>
    <t xml:space="preserve">11, 18, 19 May &amp; 15, 17 June 2024</t>
  </si>
  <si>
    <t xml:space="preserve">Matches units (5)</t>
  </si>
  <si>
    <t xml:space="preserve">Bellville Campus to Tygerberg hospital and retur</t>
  </si>
  <si>
    <t xml:space="preserve">T2024-029</t>
  </si>
  <si>
    <t xml:space="preserve">13, 14, 15, 16, 17 May 2024</t>
  </si>
  <si>
    <t xml:space="preserve">Bellville Campus to Mowbray &amp; Red Cross hospitals and return</t>
  </si>
  <si>
    <t xml:space="preserve">T2024-030</t>
  </si>
  <si>
    <t xml:space="preserve">13, 14, 15, 16, 17 May &amp; 18, 19, 20, 21 June 2024</t>
  </si>
  <si>
    <t xml:space="preserve">T2024-031</t>
  </si>
  <si>
    <t xml:space="preserve">TSQT0003190</t>
  </si>
  <si>
    <t xml:space="preserve">10-28 June 2024</t>
  </si>
  <si>
    <t xml:space="preserve">Matches units (14)</t>
  </si>
  <si>
    <t xml:space="preserve">Bellville Campus to Pinelands CPOA, Manor Care CPOA, Sea Point CPOA and return</t>
  </si>
  <si>
    <t xml:space="preserve">T2024-032</t>
  </si>
  <si>
    <t xml:space="preserve">Bellville Campus to Fairmead CPOA, Anchusa CPOA, Avondrust CPOA and return</t>
  </si>
  <si>
    <t xml:space="preserve">T2024-033</t>
  </si>
  <si>
    <t xml:space="preserve">Bellville Campus to Gugulethu MOU, Erica Place CPOA, Lotus River CPOA, Retreat MOU and return</t>
  </si>
  <si>
    <t xml:space="preserve">T2024-034</t>
  </si>
  <si>
    <t xml:space="preserve">TSQT0003191</t>
  </si>
  <si>
    <t xml:space="preserve">04-28 June 2024</t>
  </si>
  <si>
    <t xml:space="preserve">MISMATCH: 18 dates parsed vs 16 units booked</t>
  </si>
  <si>
    <t xml:space="preserve">Bellville Campus to Groote Schuur hospital and return</t>
  </si>
  <si>
    <t xml:space="preserve">T2024-035</t>
  </si>
  <si>
    <t xml:space="preserve">T2024-036</t>
  </si>
  <si>
    <t xml:space="preserve">T2024-037</t>
  </si>
  <si>
    <t xml:space="preserve">03-28 June 2024</t>
  </si>
  <si>
    <t xml:space="preserve">MISMATCH: 19 dates parsed vs 17 units booked</t>
  </si>
  <si>
    <t xml:space="preserve">Bellville Campus to Red Cross &amp; Mowbray hospital and retur</t>
  </si>
  <si>
    <t xml:space="preserve">T2024-038</t>
  </si>
  <si>
    <t xml:space="preserve">TSQT0003200</t>
  </si>
  <si>
    <t xml:space="preserve">18-28 June 2024</t>
  </si>
  <si>
    <t xml:space="preserve">Bellville Campus to Mitchell;s Plain District, Lentegeur hospital, Mitchell's Plain MOU and return TRIP</t>
  </si>
  <si>
    <t xml:space="preserve">T2024-039</t>
  </si>
  <si>
    <t xml:space="preserve">18- 28 June 2024</t>
  </si>
  <si>
    <t xml:space="preserve">Bellville Campus to Helderberg hospital, Macassar MOU, Kleinvlei MOU, Site B MOU, Michael M MOU and return TRIP</t>
  </si>
  <si>
    <t xml:space="preserve">T2024-040</t>
  </si>
  <si>
    <t xml:space="preserve">03, 04, 06, 07, 24, 25, 27, 28 June 2024</t>
  </si>
  <si>
    <t xml:space="preserve">Bellville Campus to Paarl hospital and return TRIP</t>
  </si>
  <si>
    <t xml:space="preserve">T2024-041</t>
  </si>
  <si>
    <t xml:space="preserve">TSQT0003201</t>
  </si>
  <si>
    <t xml:space="preserve">17h30 return 07h30</t>
  </si>
  <si>
    <t xml:space="preserve">Bellville Campus to Stellenbosch hospital and return TRIP</t>
  </si>
  <si>
    <t xml:space="preserve">T2024-042</t>
  </si>
  <si>
    <t xml:space="preserve">V06</t>
  </si>
  <si>
    <t xml:space="preserve">02 June 2024 return 14 June 2024</t>
  </si>
  <si>
    <t xml:space="preserve">Not specified</t>
  </si>
  <si>
    <t xml:space="preserve">none specified</t>
  </si>
  <si>
    <t xml:space="preserve">Bellville Campus to CPT Airport and return 14 June 2024 back to campus TRIP</t>
  </si>
  <si>
    <t xml:space="preserve">T2024-043</t>
  </si>
  <si>
    <t xml:space="preserve">TSQT0003285</t>
  </si>
  <si>
    <t xml:space="preserve">15-19, 22-26, 29, 30, 31 July; 01, 02, 05-08, 12-16, 19-23 August; 25-27, 30 September; 01-03 October 2024</t>
  </si>
  <si>
    <t xml:space="preserve">MISMATCH: 36 dates parsed vs 30 units booked</t>
  </si>
  <si>
    <t xml:space="preserve">Bellville Campus to Red Cross hospital and return</t>
  </si>
  <si>
    <t xml:space="preserve">T2024-044</t>
  </si>
  <si>
    <t xml:space="preserve">15-19, 22-26 July 16, 19-23 August; 16-20, 30 September, 01-03 October 2024</t>
  </si>
  <si>
    <t xml:space="preserve">MISMATCH: 25 dates parsed vs 29 units booked</t>
  </si>
  <si>
    <t xml:space="preserve">6h30 return 16h00</t>
  </si>
  <si>
    <t xml:space="preserve">Bellville Campus to Khayelitsha District hospital and return</t>
  </si>
  <si>
    <t xml:space="preserve">T2024-045</t>
  </si>
  <si>
    <t xml:space="preserve">22-26 July; 12-16, 19- 23 August; 16-20, 25-27 September</t>
  </si>
  <si>
    <t xml:space="preserve">Matches units (23)</t>
  </si>
  <si>
    <t xml:space="preserve">T2024-046</t>
  </si>
  <si>
    <t xml:space="preserve">15, 16, 18, 22, 23, 25 July; 16, 17, 19 September 2024</t>
  </si>
  <si>
    <t xml:space="preserve">Bellville campus to GSH and return</t>
  </si>
  <si>
    <t xml:space="preserve">T2024-047</t>
  </si>
  <si>
    <t xml:space="preserve">20 July; 10, 18, 24, 31 August; 21 September 2024</t>
  </si>
  <si>
    <t xml:space="preserve">T2024-048</t>
  </si>
  <si>
    <t xml:space="preserve">28, 29, 31 July; 19, 20, 22, 25, 26, 28 August; 01, 02, 04, 16, 17, 19, 23 ,24, 26, 29, 30 September; 02 October 2024-</t>
  </si>
  <si>
    <t xml:space="preserve">Matches units (21)</t>
  </si>
  <si>
    <t xml:space="preserve">Bvl to TBH and return</t>
  </si>
  <si>
    <t xml:space="preserve">T2024-049</t>
  </si>
  <si>
    <t xml:space="preserve">29-31 July; 01, 02, 05- 08, 26-30 August; 02-06, 25-27 September 2024</t>
  </si>
  <si>
    <t xml:space="preserve">Matches units (22)</t>
  </si>
  <si>
    <t xml:space="preserve">Bvl to Khayelitsha District hospital and Mitchell's Plain UWC or Mitchell's Plain District hospital and return</t>
  </si>
  <si>
    <t xml:space="preserve">T2024-050</t>
  </si>
  <si>
    <t xml:space="preserve">29-31 July; 01, 02, 05- 08 August; 30 September; 01-03 October 2024</t>
  </si>
  <si>
    <t xml:space="preserve">Matches units (13)</t>
  </si>
  <si>
    <t xml:space="preserve">Bvl to Karl Bremmer and Kraaifontein hospital and return</t>
  </si>
  <si>
    <t xml:space="preserve">T2024-051</t>
  </si>
  <si>
    <t xml:space="preserve">26-30 August; 02-06 September 2024</t>
  </si>
  <si>
    <t xml:space="preserve">Bvl to Mowbray &amp; Red Cross hospital and return</t>
  </si>
  <si>
    <t xml:space="preserve">T2024-052</t>
  </si>
  <si>
    <t xml:space="preserve">26-30 August 2024</t>
  </si>
  <si>
    <t xml:space="preserve">Bvl to Kraaifontein Hospital</t>
  </si>
  <si>
    <t xml:space="preserve">T2024-053</t>
  </si>
  <si>
    <t xml:space="preserve">15-19 July 2024</t>
  </si>
  <si>
    <t xml:space="preserve">Bellville Campus to Karl Bremmer and Paarl hospital and return</t>
  </si>
  <si>
    <t xml:space="preserve">T2024-054</t>
  </si>
  <si>
    <t xml:space="preserve">TSQT0003297</t>
  </si>
  <si>
    <t xml:space="preserve">15-26 July 2024</t>
  </si>
  <si>
    <t xml:space="preserve">Bvl to Paarl Hospital</t>
  </si>
  <si>
    <t xml:space="preserve">T2024-055</t>
  </si>
  <si>
    <t xml:space="preserve">V07</t>
  </si>
  <si>
    <t xml:space="preserve">15 July and 02 August 2024</t>
  </si>
  <si>
    <t xml:space="preserve">12h00 return 12h00</t>
  </si>
  <si>
    <t xml:space="preserve">Bvl toWorcester</t>
  </si>
  <si>
    <t xml:space="preserve">T2024-056</t>
  </si>
  <si>
    <t xml:space="preserve">TSQT0003296</t>
  </si>
  <si>
    <t xml:space="preserve">15-31 July 2024</t>
  </si>
  <si>
    <t xml:space="preserve">Bellville Campus to Victoria, Lady Michaelis, Lotus, Grassy Park and return</t>
  </si>
  <si>
    <t xml:space="preserve">T2024-057</t>
  </si>
  <si>
    <t xml:space="preserve">Filled down from row above</t>
  </si>
  <si>
    <t xml:space="preserve">Bellville Campus to Macassar, Elsiesriver, Gugulethu, Vanguard, Retreat and return</t>
  </si>
  <si>
    <t xml:space="preserve">T2024-058</t>
  </si>
  <si>
    <t xml:space="preserve">TSQT0003295</t>
  </si>
  <si>
    <t xml:space="preserve">15, 16, 18, 19, 22, 23, 25, 26 July 2024</t>
  </si>
  <si>
    <t xml:space="preserve">Bvl to Khayelitsha, Michael M, Site B, Kuyasa, Nolungile and return</t>
  </si>
  <si>
    <t xml:space="preserve">T2024-059</t>
  </si>
  <si>
    <t xml:space="preserve">Bvl to Mitchell's Plain District, Mitchell's Plain MOU, Lentegeur, Eastridge, Rocklands clinic and return</t>
  </si>
  <si>
    <t xml:space="preserve">T2024-060</t>
  </si>
  <si>
    <t xml:space="preserve">Bellville Campus to Parow, Ravensmead, Ruyterwacht, Ravensmead, Langa, Gugulethu, Lansdowne and return</t>
  </si>
  <si>
    <t xml:space="preserve">T2024-061</t>
  </si>
  <si>
    <t xml:space="preserve">TSQT0003294</t>
  </si>
  <si>
    <t xml:space="preserve">Bvl to Karl Bremmer Reed Street, St Vincent, Kasselsvlei, Scottsdene clinic and return</t>
  </si>
  <si>
    <t xml:space="preserve">T2024-062</t>
  </si>
  <si>
    <t xml:space="preserve">15 July to 02 August 2024</t>
  </si>
  <si>
    <t xml:space="preserve">Matches units (15)</t>
  </si>
  <si>
    <t xml:space="preserve">05h30 return  16h30 and 19h30</t>
  </si>
  <si>
    <t xml:space="preserve">2024-Bellville Campus to New Somerset, Mowbray, D6 CHC and return</t>
  </si>
  <si>
    <t xml:space="preserve">T2024-063</t>
  </si>
  <si>
    <t xml:space="preserve">Bvl to Stellenbosch Hospital and return</t>
  </si>
  <si>
    <t xml:space="preserve">T2024-064</t>
  </si>
  <si>
    <t xml:space="preserve">TSQT0003336</t>
  </si>
  <si>
    <t xml:space="preserve">04, 06-11, 14, 20-22, 26-29 September; 04-07, 10-13, 17- 19, 24, 25, 30 October 2024</t>
  </si>
  <si>
    <t xml:space="preserve">Matches units (29) - ranges expanded to all calendar days</t>
  </si>
  <si>
    <t xml:space="preserve">06h00 return 18h00</t>
  </si>
  <si>
    <t xml:space="preserve">Bvl Campus to Gugulethu via Elsiesriver and back</t>
  </si>
  <si>
    <t xml:space="preserve">T2024-065</t>
  </si>
  <si>
    <t xml:space="preserve">05-07, 10, 12, 14, 17, 19-22, 26-28 September; 04, 05, 10, 11, 18, 25, 26 October 2024</t>
  </si>
  <si>
    <t xml:space="preserve">Matches units (21) - ranges expanded to all calendar days</t>
  </si>
  <si>
    <t xml:space="preserve">Bvl Campus to Groote Schuur via Pinelands, Mowbray, Red Cross and return</t>
  </si>
  <si>
    <t xml:space="preserve">T2024-066</t>
  </si>
  <si>
    <t xml:space="preserve">01, 03, 06, 07, 09, 13- 15, 20, 21, 24, 27-30 September; 05, 06, 11, 12, 18-20, 25, 26 October</t>
  </si>
  <si>
    <t xml:space="preserve">Matches units (24) - ranges expanded to all calendar days</t>
  </si>
  <si>
    <t xml:space="preserve">Bvl to Khayelitsha District hospital and return</t>
  </si>
  <si>
    <t xml:space="preserve">T2024-067</t>
  </si>
  <si>
    <t xml:space="preserve">01, 02, 06-11, 13-15, 21, 27-29 September; 03-05, 09, 11, 12, 16-18, 20, 21, 25-28, 30 October</t>
  </si>
  <si>
    <t xml:space="preserve">Matches units (31) - ranges expanded to all calendar days</t>
  </si>
  <si>
    <t xml:space="preserve">Bellville Campus to Kraaifontein &amp; Tygerberg and return</t>
  </si>
  <si>
    <t xml:space="preserve">T2024-068</t>
  </si>
  <si>
    <t xml:space="preserve">05-08, 11-13, 19-21, 27 September; 04, 10, 11, 18, 19 October</t>
  </si>
  <si>
    <t xml:space="preserve">MISMATCH: 16 dates parsed vs 17 units booked</t>
  </si>
  <si>
    <t xml:space="preserve">06h00 return 14h00</t>
  </si>
  <si>
    <t xml:space="preserve">Bvl to Eersteriver and return</t>
  </si>
  <si>
    <t xml:space="preserve">T2024-069</t>
  </si>
  <si>
    <t xml:space="preserve">06, 07, 13, 14, 19-21, 26-29 September; 04, 05, 12, 18, 19, 25, 26 October 2024</t>
  </si>
  <si>
    <t xml:space="preserve">MISMATCH: 18 dates parsed vs 17 units booked</t>
  </si>
  <si>
    <t xml:space="preserve">Bvl to Mitchell's Plain and return</t>
  </si>
  <si>
    <t xml:space="preserve">T2024-070</t>
  </si>
  <si>
    <t xml:space="preserve">TSQT0003287</t>
  </si>
  <si>
    <t xml:space="preserve">15, 16, 19, 20, 23, 26- 28, 30 July; 02-04, 07-11, 14, 16-19, 23, 24, 26, 29-31 August 2024</t>
  </si>
  <si>
    <t xml:space="preserve">MISMATCH: 28 dates parsed vs 26 units booked</t>
  </si>
  <si>
    <t xml:space="preserve">Bellville Campus to Gugulethu via Elsiesriver and back</t>
  </si>
  <si>
    <t xml:space="preserve">T2024-071</t>
  </si>
  <si>
    <t xml:space="preserve">19-21, 26-28 July; 03, 04, 07, 08, 10, 13, 15-17, 22, 24, 25, 29, 31 August 2024</t>
  </si>
  <si>
    <t xml:space="preserve">MISMATCH: 20 dates parsed vs 23 units booked</t>
  </si>
  <si>
    <t xml:space="preserve">Bvl to to Groote Schuur via Pinelands, Mowbray, Red Cross and return</t>
  </si>
  <si>
    <t xml:space="preserve">T2024-072</t>
  </si>
  <si>
    <t xml:space="preserve">15, 18, 19-22, 25-28 July; 02-04, 09-11, 16, 17, 20-24, 30, 31 August 2024</t>
  </si>
  <si>
    <t xml:space="preserve">MISMATCH: 25 dates parsed vs 23 units booked</t>
  </si>
  <si>
    <t xml:space="preserve">T2024-073</t>
  </si>
  <si>
    <t xml:space="preserve">16, 18-21, 24-28, 30 July; 01-04, 06, 09, 10, 14, 16-18, 21-25, 28-31 August 2024</t>
  </si>
  <si>
    <t xml:space="preserve">Bvl to Kraaifontein &amp; Tygerberg and return</t>
  </si>
  <si>
    <t xml:space="preserve">T2024-074</t>
  </si>
  <si>
    <t xml:space="preserve">16, 19-21, 26-28 July; 02, 03, 10, 17, 24, 30 August 2024</t>
  </si>
  <si>
    <t xml:space="preserve">Matches units (13) - ranges expanded to all calendar days</t>
  </si>
  <si>
    <t xml:space="preserve">T2024-075</t>
  </si>
  <si>
    <t xml:space="preserve">19-21, 26-28 July; 01-03, 08-11, 16, 17, 20-25, 30, 31 August 2024</t>
  </si>
  <si>
    <t xml:space="preserve">Matches units (23) - ranges expanded to all calendar days</t>
  </si>
  <si>
    <t xml:space="preserve">T2024-076</t>
  </si>
  <si>
    <t xml:space="preserve">TSQT0002828</t>
  </si>
  <si>
    <t xml:space="preserve">25-29 March 2024</t>
  </si>
  <si>
    <t xml:space="preserve">Matches units (5) - public holiday inside range counted</t>
  </si>
  <si>
    <t xml:space="preserve">Bvl to Karl Bremmer via TBH</t>
  </si>
  <si>
    <t xml:space="preserve">T2024-077</t>
  </si>
  <si>
    <t xml:space="preserve">Bvl to Khayelitsha and Mitchell's Plain</t>
  </si>
  <si>
    <t xml:space="preserve">T2024-078</t>
  </si>
  <si>
    <t xml:space="preserve">T2024-079</t>
  </si>
  <si>
    <t xml:space="preserve">04-15 March 2024</t>
  </si>
  <si>
    <t xml:space="preserve">Bellville Campus toMitchell's Plain, Michael M, Site B,Kuyasa, Nolungile, Lentegeur clinicsand return</t>
  </si>
  <si>
    <t xml:space="preserve">T2024-080</t>
  </si>
  <si>
    <t xml:space="preserve">BellvilleCampus to Langa, Vanguard,Lansdowne, Retreat, Lady Michaelisand return</t>
  </si>
  <si>
    <t xml:space="preserve">T2024-081</t>
  </si>
  <si>
    <t xml:space="preserve">Bellville Campus to St Vincent,Parow, Ravensmead and return</t>
  </si>
  <si>
    <t xml:space="preserve">T2024-082</t>
  </si>
  <si>
    <t xml:space="preserve">TSQT0002974</t>
  </si>
  <si>
    <t xml:space="preserve">20-31 May 2024</t>
  </si>
  <si>
    <t xml:space="preserve">Matches units (10) - public holiday inside range counted</t>
  </si>
  <si>
    <t xml:space="preserve">Bellville Campus toMitchell's Plain MOU, Michael MCHC, Site B MOU, Rocklands clinic,Lentegeur clinic &amp; hospital andreturn</t>
  </si>
  <si>
    <t xml:space="preserve">T2024-083</t>
  </si>
  <si>
    <t xml:space="preserve">Bellville Campus to Fairmead PlaceCPOA, Anchusa CPOA, AvondrustCPOA, Lotus River CPOA, RetreatMOU and return</t>
  </si>
  <si>
    <t xml:space="preserve">T2024-084</t>
  </si>
  <si>
    <t xml:space="preserve">BellvilleCampus to Vanguard CHC,Elsiesriver MOU, Lansdowne clinic,Nyanga CHC, Gugulethu MOU,Erica Place CPOA and return</t>
  </si>
  <si>
    <t xml:space="preserve">T2024-085</t>
  </si>
  <si>
    <t xml:space="preserve">Bellville Campus toSymphony CHC, Kasselsvlei CHC,Scottsdene clinic, Kraaifontein CHCand return</t>
  </si>
  <si>
    <t xml:space="preserve">T2024-086</t>
  </si>
  <si>
    <t xml:space="preserve">Bellville Campus toStrand CHC, Macassar MOU &amp;Gustrow CHC and return</t>
  </si>
  <si>
    <t xml:space="preserve">T2024-087</t>
  </si>
  <si>
    <t xml:space="preserve">V05</t>
  </si>
  <si>
    <t xml:space="preserve">19 &amp; 31 May 2024</t>
  </si>
  <si>
    <t xml:space="preserve">not specified</t>
  </si>
  <si>
    <t xml:space="preserve">Bvl campus to Cape Town airport and return</t>
  </si>
  <si>
    <t xml:space="preserve">T2024-088</t>
  </si>
  <si>
    <t xml:space="preserve">V08</t>
  </si>
  <si>
    <t xml:space="preserve">TSQT0002977</t>
  </si>
  <si>
    <t xml:space="preserve">06 May 2024</t>
  </si>
  <si>
    <t xml:space="preserve">Bvl campus to GSH via Red Cross and return</t>
  </si>
  <si>
    <t xml:space="preserve">T2024-089</t>
  </si>
  <si>
    <t xml:space="preserve">13-31 May 2024</t>
  </si>
  <si>
    <t xml:space="preserve">Matches units (15) - public holiday inside range counted</t>
  </si>
  <si>
    <t xml:space="preserve">BellvilleCampus to Red Cross &amp; GrooteSchuur hospitals, Green Point CHC,Sea Point CPOA and return</t>
  </si>
  <si>
    <t xml:space="preserve">T2024-090</t>
  </si>
  <si>
    <t xml:space="preserve">27-31 May 2024</t>
  </si>
  <si>
    <t xml:space="preserve">Bvl campus to Stellenbosh Hosp and return</t>
  </si>
  <si>
    <t xml:space="preserve">T2024-091</t>
  </si>
  <si>
    <t xml:space="preserve">13-31 May2024</t>
  </si>
  <si>
    <t xml:space="preserve">Bellville Campus to Tygerberghospital, Pinelands CPOA, ManorCare CPOA and return</t>
  </si>
  <si>
    <t xml:space="preserve">T2024-092</t>
  </si>
  <si>
    <t xml:space="preserve">14-24 May 2024</t>
  </si>
  <si>
    <t xml:space="preserve">MISMATCH: 9 dates parsed vs 8 units booked</t>
  </si>
  <si>
    <t xml:space="preserve">BellvilleCampus to Red Cross &amp; GrooteSchuur hospitals and return</t>
  </si>
  <si>
    <t xml:space="preserve">P2025-001</t>
  </si>
  <si>
    <t xml:space="preserve">AY2025</t>
  </si>
  <si>
    <t xml:space="preserve">Requirement (AY2025, no TSQT yet)</t>
  </si>
  <si>
    <t xml:space="preserve">Not yet issued</t>
  </si>
  <si>
    <t xml:space="preserve">Mondays to Sundays, January to December 2025 (between CPUT term dates)</t>
  </si>
  <si>
    <t xml:space="preserve">Period only (no trip dates)</t>
  </si>
  <si>
    <t xml:space="preserve">Shift 1: 06h30 return 18h30; Shift 2: 18h30 return 06h30</t>
  </si>
  <si>
    <t xml:space="preserve">Bellville Campus to Groote Schuur Hospital and return</t>
  </si>
  <si>
    <t xml:space="preserve">AY2024 single-site trip (same department)</t>
  </si>
  <si>
    <t xml:space="preserve">AY2024 single-site trip, cost per trip 850</t>
  </si>
  <si>
    <t xml:space="preserve">P2025-002</t>
  </si>
  <si>
    <t xml:space="preserve">Bellville Campus to Red Cross War Memorial Children's Hospital and return</t>
  </si>
  <si>
    <t xml:space="preserve">AY2024 multi-site route, cost shared across its sites (same department)</t>
  </si>
  <si>
    <t xml:space="preserve">AY2024 route cost per trip 1,800 / 4 sites on T2024-065</t>
  </si>
  <si>
    <t xml:space="preserve">P2025-003</t>
  </si>
  <si>
    <t xml:space="preserve">Bellville Campus to Tygerberg Hospital and return</t>
  </si>
  <si>
    <t xml:space="preserve">AY2024 route cost per trip 1,400 / 2 sites on T2024-067</t>
  </si>
  <si>
    <t xml:space="preserve">P2025-004</t>
  </si>
  <si>
    <t xml:space="preserve">Bellville Campus to Karl Bremer Hospital and return</t>
  </si>
  <si>
    <t xml:space="preserve">AY2024 route cost per trip 750 / 2 sites on T2024-016</t>
  </si>
  <si>
    <t xml:space="preserve">P2025-005</t>
  </si>
  <si>
    <t xml:space="preserve">Bellville Campus to Mowbray Maternity Hospital and return</t>
  </si>
  <si>
    <t xml:space="preserve">P2025-006</t>
  </si>
  <si>
    <t xml:space="preserve">Bellville Campus to Khayelitsha District Hospital and return</t>
  </si>
  <si>
    <t xml:space="preserve">T2024-014, T2024-066, T2024-072</t>
  </si>
  <si>
    <t xml:space="preserve">P2025-007</t>
  </si>
  <si>
    <t xml:space="preserve">Bellville Campus to New Somerset Hospital and return</t>
  </si>
  <si>
    <t xml:space="preserve">Assumed (site not served by this department in AY2024)</t>
  </si>
  <si>
    <t xml:space="preserve">Not served by this department in AY2024</t>
  </si>
  <si>
    <t xml:space="preserve">P2025-008</t>
  </si>
  <si>
    <t xml:space="preserve">Bellville Campus to Elsies River CHC and return</t>
  </si>
  <si>
    <t xml:space="preserve">Not served by this department in AY2024; same locality served in AY2024 as Elsies River (facility not stated) (kept at the assumed cost)</t>
  </si>
  <si>
    <t xml:space="preserve">P2025-009</t>
  </si>
  <si>
    <t xml:space="preserve">Bellville Campus to Kraaifontein CHC and return</t>
  </si>
  <si>
    <t xml:space="preserve">Not served by this department in AY2024; same locality served in AY2024 as Kraaifontein (facility not stated) (kept at the assumed cost)</t>
  </si>
  <si>
    <t xml:space="preserve">P2025-010</t>
  </si>
  <si>
    <t xml:space="preserve">Bellville Campus to Eerste River Hospital and return</t>
  </si>
  <si>
    <t xml:space="preserve">T2024-013, T2024-068, T2024-074</t>
  </si>
  <si>
    <t xml:space="preserve">P2025-011</t>
  </si>
  <si>
    <t xml:space="preserve">Bellville Campus to Mitchells Plain District Hospital and return</t>
  </si>
  <si>
    <t xml:space="preserve">P2025-012</t>
  </si>
  <si>
    <t xml:space="preserve">Bellville Campus to Pinelands Western EMS and return</t>
  </si>
  <si>
    <t xml:space="preserve">P2025-013</t>
  </si>
  <si>
    <t xml:space="preserve">Bellville Campus to Gugulethu CHC and return</t>
  </si>
  <si>
    <t xml:space="preserve">Not served by this department in AY2024; same locality served in AY2024 as Gugulethu (facility not stated), Gugulethu Hospital (kept at the assumed cost)</t>
  </si>
  <si>
    <t xml:space="preserve">P2025-014</t>
  </si>
  <si>
    <t xml:space="preserve">Bellville Campus to Red Cross Air Mercy Services (CPT International) and return</t>
  </si>
  <si>
    <t xml:space="preserve">P2025-015</t>
  </si>
  <si>
    <t xml:space="preserve">Mondays to Fridays, January to December 2025 (between CPUT term dates)</t>
  </si>
  <si>
    <t xml:space="preserve">+/-40</t>
  </si>
  <si>
    <t xml:space="preserve">T2024-020, T2024-021, T2024-046, T2024-047</t>
  </si>
  <si>
    <t xml:space="preserve">P2025-016</t>
  </si>
  <si>
    <t xml:space="preserve">T2024-027, T2024-028, T2024-030, T2024-048</t>
  </si>
  <si>
    <t xml:space="preserve">AY2024 single-site trip, cost per trip 780 (AY2024 range 780-980; latest used)</t>
  </si>
  <si>
    <t xml:space="preserve">P2025-017</t>
  </si>
  <si>
    <t xml:space="preserve">06h00, 06h30 or 07h00 (varies by site) return 16h00</t>
  </si>
  <si>
    <t xml:space="preserve">2-4 per week</t>
  </si>
  <si>
    <t xml:space="preserve">Bellville Campus to Paarl Hospital and return</t>
  </si>
  <si>
    <t xml:space="preserve">AY2024 route cost per trip 4,600 / 2 sites on T2024-053</t>
  </si>
  <si>
    <t xml:space="preserve">P2025-018</t>
  </si>
  <si>
    <t xml:space="preserve">AY2024 route cost per trip 1,200 / 3 sites on T2024-049</t>
  </si>
  <si>
    <t xml:space="preserve">P2025-019</t>
  </si>
  <si>
    <t xml:space="preserve">T2024-026, T2024-045</t>
  </si>
  <si>
    <t xml:space="preserve">AY2024 single-site trip, cost per trip 780</t>
  </si>
  <si>
    <t xml:space="preserve">P2025-020</t>
  </si>
  <si>
    <t xml:space="preserve">P2025-021</t>
  </si>
  <si>
    <t xml:space="preserve">4-6 per week</t>
  </si>
  <si>
    <t xml:space="preserve">T2024-024, T2024-044</t>
  </si>
  <si>
    <t xml:space="preserve">AY2024 single-site trip, cost per trip 850 (AY2024 range 850-1,200; latest used)</t>
  </si>
  <si>
    <t xml:space="preserve">P2025-022</t>
  </si>
  <si>
    <t xml:space="preserve">P2025-023</t>
  </si>
  <si>
    <t xml:space="preserve">AY2024 route cost per trip 980 / 2 sites on T2024-051</t>
  </si>
  <si>
    <t xml:space="preserve">P2025-024</t>
  </si>
  <si>
    <t xml:space="preserve">1-2 per week</t>
  </si>
  <si>
    <t xml:space="preserve">Bellville Campus to Kraaifontein Day Hospital and return</t>
  </si>
  <si>
    <t xml:space="preserve">Not served by this department in AY2024; same locality served in AY2024 as Kraaifontein CHC, Kraaifontein Hospital (kept at the assumed cost)</t>
  </si>
  <si>
    <t xml:space="preserve">P2025-025</t>
  </si>
  <si>
    <t xml:space="preserve">2 per week</t>
  </si>
  <si>
    <t xml:space="preserve">Bellville Campus to Delft CHC and return</t>
  </si>
  <si>
    <t xml:space="preserve">P2025-026</t>
  </si>
  <si>
    <t xml:space="preserve">Bellville Campus to Symphony Way CDC and return</t>
  </si>
  <si>
    <t xml:space="preserve">P2025-027</t>
  </si>
  <si>
    <t xml:space="preserve">Night duty, January to December 2025 (between CPUT term dates)</t>
  </si>
  <si>
    <t xml:space="preserve">2-4 per site</t>
  </si>
  <si>
    <t xml:space="preserve">P2025-028</t>
  </si>
  <si>
    <t xml:space="preserve">P2025-029</t>
  </si>
  <si>
    <t xml:space="preserve">P2025-030</t>
  </si>
  <si>
    <t xml:space="preserve">Weekends and public holidays, January to December 2025</t>
  </si>
  <si>
    <t xml:space="preserve">Weekend / public holiday</t>
  </si>
  <si>
    <t xml:space="preserve">08h00 return 16h00</t>
  </si>
  <si>
    <t xml:space="preserve">P2025-031</t>
  </si>
  <si>
    <t xml:space="preserve">P2025-032</t>
  </si>
  <si>
    <t xml:space="preserve">P2025-033</t>
  </si>
  <si>
    <t xml:space="preserve">V09</t>
  </si>
  <si>
    <t xml:space="preserve">Mondays to Fridays, January to December 2025 (no weekends or public holidays)</t>
  </si>
  <si>
    <t xml:space="preserve">Shift 1: 05h30 return 19h30; Shift 2: 17h30 return 07h30</t>
  </si>
  <si>
    <t xml:space="preserve">1-5</t>
  </si>
  <si>
    <t xml:space="preserve">Bellville Campus to Alexandra Hospital and return</t>
  </si>
  <si>
    <t xml:space="preserve">P2025-034</t>
  </si>
  <si>
    <t xml:space="preserve">Bellville Campus to Anchusa CPOA and return</t>
  </si>
  <si>
    <t xml:space="preserve">AY2024 route cost per trip 1,400 / 3 sites on T2024-032</t>
  </si>
  <si>
    <t xml:space="preserve">P2025-035</t>
  </si>
  <si>
    <t xml:space="preserve">Bellville Campus to Avondrust CPOA and return</t>
  </si>
  <si>
    <t xml:space="preserve">P2025-036</t>
  </si>
  <si>
    <t xml:space="preserve">Bellville Campus to Bishop Lavis CDC and return</t>
  </si>
  <si>
    <t xml:space="preserve">P2025-037</t>
  </si>
  <si>
    <t xml:space="preserve">Bellville Campus to Constantia Place CPOA and return</t>
  </si>
  <si>
    <t xml:space="preserve">P2025-038</t>
  </si>
  <si>
    <t xml:space="preserve">Bellville Campus to Delft CDC and return</t>
  </si>
  <si>
    <t xml:space="preserve">P2025-039</t>
  </si>
  <si>
    <t xml:space="preserve">Bellville Campus to Dirkie Uys (Goodwood) CDC and return</t>
  </si>
  <si>
    <t xml:space="preserve">AY2024 route cost per trip 980 / 5 sites on T2024-008</t>
  </si>
  <si>
    <t xml:space="preserve">P2025-040</t>
  </si>
  <si>
    <t xml:space="preserve">Bellville Campus to District 6 CDC and return</t>
  </si>
  <si>
    <t xml:space="preserve">Not served by this department in AY2024; same locality served in AY2024 as District 6 CHC, District 6 Clinic (kept at the assumed cost)</t>
  </si>
  <si>
    <t xml:space="preserve">P2025-041</t>
  </si>
  <si>
    <t xml:space="preserve">P2025-042</t>
  </si>
  <si>
    <t xml:space="preserve">Bellville Campus to Elsies River CDC and return</t>
  </si>
  <si>
    <t xml:space="preserve">Not served by this department in AY2024; same locality served in AY2024 as Elsies River (facility not stated), Elsies River MOU (kept at the assumed cost)</t>
  </si>
  <si>
    <t xml:space="preserve">P2025-043</t>
  </si>
  <si>
    <t xml:space="preserve">Bellville Campus to Elsies River Clinic and return</t>
  </si>
  <si>
    <t xml:space="preserve">P2025-044</t>
  </si>
  <si>
    <t xml:space="preserve">Bellville Campus to Erica Place CPOA and return</t>
  </si>
  <si>
    <t xml:space="preserve">AY2024 route cost per trip 1,600 / 4 sites on T2024-033</t>
  </si>
  <si>
    <t xml:space="preserve">P2025-045</t>
  </si>
  <si>
    <t xml:space="preserve">Bellville Campus to Fairmead CPOA and return</t>
  </si>
  <si>
    <t xml:space="preserve">P2025-046</t>
  </si>
  <si>
    <t xml:space="preserve">T2024-034, T2024-035</t>
  </si>
  <si>
    <t xml:space="preserve">AY2024 single-site trip, cost per trip 980</t>
  </si>
  <si>
    <t xml:space="preserve">P2025-047</t>
  </si>
  <si>
    <t xml:space="preserve">Bellville Campus to Gugulethu CDC and return</t>
  </si>
  <si>
    <t xml:space="preserve">Not served by this department in AY2024; same locality served in AY2024 as Gugulethu (facility not stated), Gugulethu MOU (kept at the assumed cost)</t>
  </si>
  <si>
    <t xml:space="preserve">P2025-048</t>
  </si>
  <si>
    <t xml:space="preserve">Bellville Campus to Gugulethu Clinic and return</t>
  </si>
  <si>
    <t xml:space="preserve">P2025-049</t>
  </si>
  <si>
    <t xml:space="preserve">Bellville Campus to Helderberg Hospital and return</t>
  </si>
  <si>
    <t xml:space="preserve">AY2024 route cost per trip 4,500 / 5 sites on T2024-039</t>
  </si>
  <si>
    <t xml:space="preserve">P2025-050</t>
  </si>
  <si>
    <t xml:space="preserve">AY2024 route cost per trip 980 / 2 sites on T2024-003</t>
  </si>
  <si>
    <t xml:space="preserve">P2025-051</t>
  </si>
  <si>
    <t xml:space="preserve">Bellville Campus to Kasselsvlei (Bellville South) CDC and return</t>
  </si>
  <si>
    <t xml:space="preserve">AY2024 route cost per trip 1,400 / 4 sites on T2024-009</t>
  </si>
  <si>
    <t xml:space="preserve">P2025-052</t>
  </si>
  <si>
    <t xml:space="preserve">Not served by this department in AY2024; same locality served in AY2024 as Khayelitsha (facility not stated) (kept at the assumed cost)</t>
  </si>
  <si>
    <t xml:space="preserve">P2025-053</t>
  </si>
  <si>
    <t xml:space="preserve">AY2024 route cost per trip 1,400 / 4 sites on T2024-085</t>
  </si>
  <si>
    <t xml:space="preserve">P2025-054</t>
  </si>
  <si>
    <t xml:space="preserve">Bellville Campus to Kuyasa Clinic (Khayelitsha) and return</t>
  </si>
  <si>
    <t xml:space="preserve">AY2024 route cost per trip 1,600 / 5 sites on T2024-058</t>
  </si>
  <si>
    <t xml:space="preserve">P2025-055</t>
  </si>
  <si>
    <t xml:space="preserve">Bellville Campus to Kylemore Clinic and return</t>
  </si>
  <si>
    <t xml:space="preserve">P2025-056</t>
  </si>
  <si>
    <t xml:space="preserve">Bellville Campus to Lady Michaelis CDC and return</t>
  </si>
  <si>
    <t xml:space="preserve">AY2024 route cost per trip 1,600 / 4 sites on T2024-056</t>
  </si>
  <si>
    <t xml:space="preserve">P2025-057</t>
  </si>
  <si>
    <t xml:space="preserve">Bellville Campus to Langa CDC and return</t>
  </si>
  <si>
    <t xml:space="preserve">AY2024 route cost per trip 1,200 / 5 sites on T2024-007</t>
  </si>
  <si>
    <t xml:space="preserve">P2025-058</t>
  </si>
  <si>
    <t xml:space="preserve">Bellville Campus to Landsdowne Clinic and return</t>
  </si>
  <si>
    <t xml:space="preserve">P2025-059</t>
  </si>
  <si>
    <t xml:space="preserve">Bellville Campus to Lentegeur Clinic and return</t>
  </si>
  <si>
    <t xml:space="preserve">AY2024 route cost per trip 1,600 / 5 sites on T2024-082</t>
  </si>
  <si>
    <t xml:space="preserve">P2025-060</t>
  </si>
  <si>
    <t xml:space="preserve">Bellville Campus to Lentegeur Hospital and return</t>
  </si>
  <si>
    <t xml:space="preserve">AY2024 route cost per trip 1,400 / 3 sites on T2024-038</t>
  </si>
  <si>
    <t xml:space="preserve">P2025-061</t>
  </si>
  <si>
    <t xml:space="preserve">Bellville Campus to Lotus River CDC and return</t>
  </si>
  <si>
    <t xml:space="preserve">Not served by this department in AY2024; same locality served in AY2024 as Lotus River (facility not stated), Lotus River CPOA (kept at the assumed cost)</t>
  </si>
  <si>
    <t xml:space="preserve">P2025-062</t>
  </si>
  <si>
    <t xml:space="preserve">Bellville Campus to Lotus River CPOA and return</t>
  </si>
  <si>
    <t xml:space="preserve">P2025-063</t>
  </si>
  <si>
    <t xml:space="preserve">Bellville Campus to Macassar CHC and return</t>
  </si>
  <si>
    <t xml:space="preserve">AY2024 route cost per trip 2,600 / 3 sites on T2024-010</t>
  </si>
  <si>
    <t xml:space="preserve">P2025-064</t>
  </si>
  <si>
    <t xml:space="preserve">Bellville Campus to Manor Care CPOA and return</t>
  </si>
  <si>
    <t xml:space="preserve">AY2024 route cost per trip 1,400 / 3 sites on T2024-031</t>
  </si>
  <si>
    <t xml:space="preserve">P2025-065</t>
  </si>
  <si>
    <t xml:space="preserve">Bellville Campus to Michael Mapongwana CDC and return</t>
  </si>
  <si>
    <t xml:space="preserve">AY2024 route cost per trip 800 / 4 sites on T2024-012</t>
  </si>
  <si>
    <t xml:space="preserve">P2025-066</t>
  </si>
  <si>
    <t xml:space="preserve">Bellville Campus to Mitchells Plain CHC and return</t>
  </si>
  <si>
    <t xml:space="preserve">Not served by this department in AY2024; same locality served in AY2024 as Mitchells Plain (facility not stated), Mitchells Plain District Hospital, Mitchells Plain MOU (kept at the assumed cost)</t>
  </si>
  <si>
    <t xml:space="preserve">P2025-067</t>
  </si>
  <si>
    <t xml:space="preserve">P2025-068</t>
  </si>
  <si>
    <t xml:space="preserve">AY2024 route cost per trip 1,200 / 2 sites on T2024-037</t>
  </si>
  <si>
    <t xml:space="preserve">P2025-069</t>
  </si>
  <si>
    <t xml:space="preserve">P2025-070</t>
  </si>
  <si>
    <t xml:space="preserve">Bellville Campus to Nolungile CDC and return</t>
  </si>
  <si>
    <t xml:space="preserve">P2025-071</t>
  </si>
  <si>
    <t xml:space="preserve">T2024-040, T2024-054</t>
  </si>
  <si>
    <t xml:space="preserve">AY2024 single-site trip, cost per trip 3,800</t>
  </si>
  <si>
    <t xml:space="preserve">P2025-072</t>
  </si>
  <si>
    <t xml:space="preserve">Bellville Campus to Parow CDC and return</t>
  </si>
  <si>
    <t xml:space="preserve">AY2024 route cost per trip 980 / 3 sites on T2024-081</t>
  </si>
  <si>
    <t xml:space="preserve">P2025-073</t>
  </si>
  <si>
    <t xml:space="preserve">Bellville Campus to Pinelands Place CPOA and return</t>
  </si>
  <si>
    <t xml:space="preserve">P2025-074</t>
  </si>
  <si>
    <t xml:space="preserve">Bellville Campus to Railton Clinic and return</t>
  </si>
  <si>
    <t xml:space="preserve">P2025-075</t>
  </si>
  <si>
    <t xml:space="preserve">Bellville Campus to Ravensmead CDC and return</t>
  </si>
  <si>
    <t xml:space="preserve">P2025-076</t>
  </si>
  <si>
    <t xml:space="preserve">P2025-077</t>
  </si>
  <si>
    <t xml:space="preserve">Bellville Campus to Reed Street CDC and return</t>
  </si>
  <si>
    <t xml:space="preserve">AY2024 route cost per trip 2,200 / 5 sites on T2024-061</t>
  </si>
  <si>
    <t xml:space="preserve">P2025-078</t>
  </si>
  <si>
    <t xml:space="preserve">Bellville Campus to Retreat CHC and return</t>
  </si>
  <si>
    <t xml:space="preserve">AY2024 route cost per trip 800 / 3 sites on T2024-011</t>
  </si>
  <si>
    <t xml:space="preserve">P2025-079</t>
  </si>
  <si>
    <t xml:space="preserve">Bellville Campus to Robbie Nurock CDC and return</t>
  </si>
  <si>
    <t xml:space="preserve">P2025-080</t>
  </si>
  <si>
    <t xml:space="preserve">Bellville Campus to Rocklands Clinic and return</t>
  </si>
  <si>
    <t xml:space="preserve">AY2024 route cost per trip 1,600 / 5 sites on T2024-059</t>
  </si>
  <si>
    <t xml:space="preserve">P2025-081</t>
  </si>
  <si>
    <t xml:space="preserve">Bellville Campus to Ruyterwacht CDC and return</t>
  </si>
  <si>
    <t xml:space="preserve">P2025-082</t>
  </si>
  <si>
    <t xml:space="preserve">Bellville Campus to Scottsdene CDC and return</t>
  </si>
  <si>
    <t xml:space="preserve">P2025-083</t>
  </si>
  <si>
    <t xml:space="preserve">Bellville Campus to Sea Point CPOA and return</t>
  </si>
  <si>
    <t xml:space="preserve">P2025-084</t>
  </si>
  <si>
    <t xml:space="preserve">Bellville Campus to Site B, Khayelitsha CDC and return</t>
  </si>
  <si>
    <t xml:space="preserve">P2025-085</t>
  </si>
  <si>
    <t xml:space="preserve">Bellville Campus to Stellenbosch Hospital and return</t>
  </si>
  <si>
    <t xml:space="preserve">T2024-041, T2024-063, T2024-078, T2024-090</t>
  </si>
  <si>
    <t xml:space="preserve">AY2024 single-site trip, cost per trip 3,400 (AY2024 range 2,600-3,400; latest used)</t>
  </si>
  <si>
    <t xml:space="preserve">P2025-086</t>
  </si>
  <si>
    <t xml:space="preserve">Bellville Campus to Stikland Hospital and return</t>
  </si>
  <si>
    <t xml:space="preserve">P2025-087</t>
  </si>
  <si>
    <t xml:space="preserve">Bellville Campus to Strand CDC and return</t>
  </si>
  <si>
    <t xml:space="preserve">P2025-088</t>
  </si>
  <si>
    <t xml:space="preserve">Bellville Campus to St Vincent CDC and return</t>
  </si>
  <si>
    <t xml:space="preserve">P2025-089</t>
  </si>
  <si>
    <t xml:space="preserve">P2025-090</t>
  </si>
  <si>
    <t xml:space="preserve">Bellville Campus to TC Newman CDC and return</t>
  </si>
  <si>
    <t xml:space="preserve">P2025-091</t>
  </si>
  <si>
    <t xml:space="preserve">Bellville Campus to Thembalethu CDC and return</t>
  </si>
  <si>
    <t xml:space="preserve">P2025-092</t>
  </si>
  <si>
    <t xml:space="preserve">P2025-093</t>
  </si>
  <si>
    <t xml:space="preserve">Bellville Campus to Valkenberg Hospital and return</t>
  </si>
  <si>
    <t xml:space="preserve">P2025-094</t>
  </si>
  <si>
    <t xml:space="preserve">Bellville Campus to Vanguard CHC and return</t>
  </si>
  <si>
    <t xml:space="preserve">P2025-095</t>
  </si>
  <si>
    <t xml:space="preserve">Bellville Campus to Victoria Hospital and return</t>
  </si>
  <si>
    <t xml:space="preserve">P2025-096</t>
  </si>
  <si>
    <t xml:space="preserve">Bellville Campus to Western Cape Rehabilitation Centre and return</t>
  </si>
  <si>
    <t xml:space="preserve">Total (AY2024 requests)</t>
  </si>
  <si>
    <t xml:space="preserve">Site_ID</t>
  </si>
  <si>
    <t xml:space="preserve">Site_Name</t>
  </si>
  <si>
    <t xml:space="preserve">S105</t>
  </si>
  <si>
    <t xml:space="preserve">S100</t>
  </si>
  <si>
    <t xml:space="preserve">S034</t>
  </si>
  <si>
    <t xml:space="preserve">S067</t>
  </si>
  <si>
    <t xml:space="preserve">S061</t>
  </si>
  <si>
    <t xml:space="preserve">S058</t>
  </si>
  <si>
    <t xml:space="preserve">S089</t>
  </si>
  <si>
    <t xml:space="preserve">S044</t>
  </si>
  <si>
    <t xml:space="preserve">S068</t>
  </si>
  <si>
    <t xml:space="preserve">S084</t>
  </si>
  <si>
    <t xml:space="preserve">S050</t>
  </si>
  <si>
    <t xml:space="preserve">S052</t>
  </si>
  <si>
    <t xml:space="preserve">S081</t>
  </si>
  <si>
    <t xml:space="preserve">S046</t>
  </si>
  <si>
    <t xml:space="preserve">S012</t>
  </si>
  <si>
    <t xml:space="preserve">S102</t>
  </si>
  <si>
    <t xml:space="preserve">S048</t>
  </si>
  <si>
    <t xml:space="preserve">S047</t>
  </si>
  <si>
    <t xml:space="preserve">S069</t>
  </si>
  <si>
    <t xml:space="preserve">S025</t>
  </si>
  <si>
    <t xml:space="preserve">S080</t>
  </si>
  <si>
    <t xml:space="preserve">S072</t>
  </si>
  <si>
    <t xml:space="preserve">S009</t>
  </si>
  <si>
    <t xml:space="preserve">S085</t>
  </si>
  <si>
    <t xml:space="preserve">S077</t>
  </si>
  <si>
    <t xml:space="preserve">S091</t>
  </si>
  <si>
    <t xml:space="preserve">S096</t>
  </si>
  <si>
    <t xml:space="preserve">S035</t>
  </si>
  <si>
    <t xml:space="preserve">S086</t>
  </si>
  <si>
    <t xml:space="preserve">S094</t>
  </si>
  <si>
    <t xml:space="preserve">S055</t>
  </si>
  <si>
    <t xml:space="preserve">S031</t>
  </si>
  <si>
    <t xml:space="preserve">S014</t>
  </si>
  <si>
    <t xml:space="preserve">S038</t>
  </si>
  <si>
    <t xml:space="preserve">S024</t>
  </si>
  <si>
    <t xml:space="preserve">S063</t>
  </si>
  <si>
    <t xml:space="preserve">S075</t>
  </si>
  <si>
    <t xml:space="preserve">S029</t>
  </si>
  <si>
    <t xml:space="preserve">S066</t>
  </si>
  <si>
    <t xml:space="preserve">S079</t>
  </si>
  <si>
    <t xml:space="preserve">S041</t>
  </si>
  <si>
    <t xml:space="preserve">S074</t>
  </si>
  <si>
    <t xml:space="preserve">S057</t>
  </si>
  <si>
    <t xml:space="preserve">S088</t>
  </si>
  <si>
    <t xml:space="preserve">S021</t>
  </si>
  <si>
    <t xml:space="preserve">S002</t>
  </si>
  <si>
    <t xml:space="preserve">S003</t>
  </si>
  <si>
    <t xml:space="preserve">S030</t>
  </si>
  <si>
    <t xml:space="preserve">S020</t>
  </si>
  <si>
    <t xml:space="preserve">S054</t>
  </si>
  <si>
    <t xml:space="preserve">S082</t>
  </si>
  <si>
    <t xml:space="preserve">S051</t>
  </si>
  <si>
    <t xml:space="preserve">S064</t>
  </si>
  <si>
    <t xml:space="preserve">S033</t>
  </si>
  <si>
    <t xml:space="preserve">S056</t>
  </si>
  <si>
    <t xml:space="preserve">S039</t>
  </si>
  <si>
    <t xml:space="preserve">S090</t>
  </si>
  <si>
    <t xml:space="preserve">S060</t>
  </si>
  <si>
    <t xml:space="preserve">S071</t>
  </si>
  <si>
    <t xml:space="preserve">S092</t>
  </si>
  <si>
    <t xml:space="preserve">S006</t>
  </si>
  <si>
    <t xml:space="preserve">S065</t>
  </si>
  <si>
    <t xml:space="preserve">S043</t>
  </si>
  <si>
    <t xml:space="preserve">S103</t>
  </si>
  <si>
    <t xml:space="preserve">S022</t>
  </si>
  <si>
    <t xml:space="preserve">S015</t>
  </si>
  <si>
    <t xml:space="preserve">S037</t>
  </si>
  <si>
    <t xml:space="preserve">S049</t>
  </si>
  <si>
    <t xml:space="preserve">S013</t>
  </si>
  <si>
    <t xml:space="preserve">S087</t>
  </si>
  <si>
    <t xml:space="preserve">S011</t>
  </si>
  <si>
    <t xml:space="preserve">S073</t>
  </si>
  <si>
    <t xml:space="preserve">S040</t>
  </si>
  <si>
    <t xml:space="preserve">S059</t>
  </si>
  <si>
    <t xml:space="preserve">S019</t>
  </si>
  <si>
    <t xml:space="preserve">S070</t>
  </si>
  <si>
    <t xml:space="preserve">S097</t>
  </si>
  <si>
    <t xml:space="preserve">S036</t>
  </si>
  <si>
    <t xml:space="preserve">S095</t>
  </si>
  <si>
    <t xml:space="preserve">S032</t>
  </si>
  <si>
    <t xml:space="preserve">S023</t>
  </si>
  <si>
    <t xml:space="preserve">S017</t>
  </si>
  <si>
    <t xml:space="preserve">S027</t>
  </si>
  <si>
    <t xml:space="preserve">S078</t>
  </si>
  <si>
    <t xml:space="preserve">S042</t>
  </si>
  <si>
    <t xml:space="preserve">S008</t>
  </si>
  <si>
    <t xml:space="preserve">S001</t>
  </si>
  <si>
    <t xml:space="preserve">S004</t>
  </si>
  <si>
    <t xml:space="preserve">S005</t>
  </si>
  <si>
    <t xml:space="preserve">S007</t>
  </si>
  <si>
    <t xml:space="preserve">S010</t>
  </si>
  <si>
    <t xml:space="preserve">S016</t>
  </si>
  <si>
    <t xml:space="preserve">S018</t>
  </si>
  <si>
    <t xml:space="preserve">S026</t>
  </si>
  <si>
    <t xml:space="preserve">S028</t>
  </si>
  <si>
    <t xml:space="preserve">S045</t>
  </si>
  <si>
    <t xml:space="preserve">S053</t>
  </si>
  <si>
    <t xml:space="preserve">S062</t>
  </si>
  <si>
    <t xml:space="preserve">S076</t>
  </si>
  <si>
    <t xml:space="preserve">S083</t>
  </si>
  <si>
    <t xml:space="preserve">S093</t>
  </si>
  <si>
    <t xml:space="preserve">S098</t>
  </si>
  <si>
    <t xml:space="preserve">S099</t>
  </si>
  <si>
    <t xml:space="preserve">S101</t>
  </si>
  <si>
    <t xml:space="preserve">S104</t>
  </si>
  <si>
    <t xml:space="preserve">Date</t>
  </si>
  <si>
    <t xml:space="preserve">Reconciled_To_Units</t>
  </si>
  <si>
    <t xml:space="preserve">Yes</t>
  </si>
  <si>
    <t xml:space="preserve">No</t>
  </si>
  <si>
    <t xml:space="preserve">Locality</t>
  </si>
  <si>
    <t xml:space="preserve">Site_Type</t>
  </si>
  <si>
    <t xml:space="preserve">Tier</t>
  </si>
  <si>
    <t xml:space="preserve">Name_Status</t>
  </si>
  <si>
    <t xml:space="preserve">Lines_AY2024</t>
  </si>
  <si>
    <t xml:space="preserve">Lines_AY2025</t>
  </si>
  <si>
    <t xml:space="preserve">Alexandra Hospital</t>
  </si>
  <si>
    <t xml:space="preserve">Alexandra</t>
  </si>
  <si>
    <t xml:space="preserve">Hospital</t>
  </si>
  <si>
    <t xml:space="preserve">Not classified</t>
  </si>
  <si>
    <t xml:space="preserve">Name as in AY2025 document</t>
  </si>
  <si>
    <t xml:space="preserve">Anchusa CPOA</t>
  </si>
  <si>
    <t xml:space="preserve">Anchusa</t>
  </si>
  <si>
    <t xml:space="preserve">CPOA</t>
  </si>
  <si>
    <t xml:space="preserve">Avondrust CPOA</t>
  </si>
  <si>
    <t xml:space="preserve">Avondrust</t>
  </si>
  <si>
    <t xml:space="preserve">Bishop Lavis CDC</t>
  </si>
  <si>
    <t xml:space="preserve">Bishop Lavis</t>
  </si>
  <si>
    <t xml:space="preserve">CDC</t>
  </si>
  <si>
    <t xml:space="preserve">Constantia Place CPOA</t>
  </si>
  <si>
    <t xml:space="preserve">Constantia Place</t>
  </si>
  <si>
    <t xml:space="preserve">CPT International Airport</t>
  </si>
  <si>
    <t xml:space="preserve">Other (non-clinical)</t>
  </si>
  <si>
    <t xml:space="preserve">AY2024 name only</t>
  </si>
  <si>
    <t xml:space="preserve">Delft CDC</t>
  </si>
  <si>
    <t xml:space="preserve">Delft</t>
  </si>
  <si>
    <t xml:space="preserve">Delft CHC</t>
  </si>
  <si>
    <t xml:space="preserve">CHC</t>
  </si>
  <si>
    <t xml:space="preserve">Dirkie Uys (Goodwood) CDC</t>
  </si>
  <si>
    <t xml:space="preserve">Dirkie Uys</t>
  </si>
  <si>
    <t xml:space="preserve">District 6 CDC</t>
  </si>
  <si>
    <t xml:space="preserve">District 6</t>
  </si>
  <si>
    <t xml:space="preserve">District 6 CHC</t>
  </si>
  <si>
    <t xml:space="preserve">District 6 Clinic</t>
  </si>
  <si>
    <t xml:space="preserve">Clinic</t>
  </si>
  <si>
    <t xml:space="preserve">Eastridge (facility not stated)</t>
  </si>
  <si>
    <t xml:space="preserve">Eastridge</t>
  </si>
  <si>
    <t xml:space="preserve">Not stated</t>
  </si>
  <si>
    <t xml:space="preserve">Facility type not stated in AY2024 source</t>
  </si>
  <si>
    <t xml:space="preserve">Eerste River Hospital</t>
  </si>
  <si>
    <t xml:space="preserve">Eerste River</t>
  </si>
  <si>
    <t xml:space="preserve">Elsies River (facility not stated)</t>
  </si>
  <si>
    <t xml:space="preserve">Elsies River</t>
  </si>
  <si>
    <t xml:space="preserve">Elsies River CDC</t>
  </si>
  <si>
    <t xml:space="preserve">Elsies River CHC</t>
  </si>
  <si>
    <t xml:space="preserve">Elsies River Clinic</t>
  </si>
  <si>
    <t xml:space="preserve">Elsies River MOU</t>
  </si>
  <si>
    <t xml:space="preserve">MOU</t>
  </si>
  <si>
    <t xml:space="preserve">Erica Place CPOA</t>
  </si>
  <si>
    <t xml:space="preserve">Erica Place</t>
  </si>
  <si>
    <t xml:space="preserve">Fairmead CPOA</t>
  </si>
  <si>
    <t xml:space="preserve">Fairmead</t>
  </si>
  <si>
    <t xml:space="preserve">Grassy Park (facility not stated)</t>
  </si>
  <si>
    <t xml:space="preserve">Grassy Park</t>
  </si>
  <si>
    <t xml:space="preserve">Green Point CHC</t>
  </si>
  <si>
    <t xml:space="preserve">Green Point</t>
  </si>
  <si>
    <t xml:space="preserve">Groote Schuur Hospital</t>
  </si>
  <si>
    <t xml:space="preserve">Groote Schuur</t>
  </si>
  <si>
    <t xml:space="preserve">Tertiary (per FHWS brief)</t>
  </si>
  <si>
    <t xml:space="preserve">Gugulethu (facility not stated)</t>
  </si>
  <si>
    <t xml:space="preserve">Gugulethu</t>
  </si>
  <si>
    <t xml:space="preserve">Gugulethu CDC</t>
  </si>
  <si>
    <t xml:space="preserve">Gugulethu CHC</t>
  </si>
  <si>
    <t xml:space="preserve">Gugulethu Clinic</t>
  </si>
  <si>
    <t xml:space="preserve">Gugulethu Hospital</t>
  </si>
  <si>
    <t xml:space="preserve">Gugulethu MOU</t>
  </si>
  <si>
    <t xml:space="preserve">Gustrow (facility not stated)</t>
  </si>
  <si>
    <t xml:space="preserve">Gustrow</t>
  </si>
  <si>
    <t xml:space="preserve">Gustrow CHC</t>
  </si>
  <si>
    <t xml:space="preserve">Helderberg Hospital</t>
  </si>
  <si>
    <t xml:space="preserve">Helderberg</t>
  </si>
  <si>
    <t xml:space="preserve">Karl Bremer Hospital</t>
  </si>
  <si>
    <t xml:space="preserve">Karl Bremer</t>
  </si>
  <si>
    <t xml:space="preserve">Secondary (per FHWS brief)</t>
  </si>
  <si>
    <t xml:space="preserve">Kasselsvlei (Bellville South) CDC</t>
  </si>
  <si>
    <t xml:space="preserve">Kasselsvlei</t>
  </si>
  <si>
    <t xml:space="preserve">Kasselsvlei CHC</t>
  </si>
  <si>
    <t xml:space="preserve">Khayelitsha (facility not stated)</t>
  </si>
  <si>
    <t xml:space="preserve">Khayelitsha</t>
  </si>
  <si>
    <t xml:space="preserve">Khayelitsha District Hospital</t>
  </si>
  <si>
    <t xml:space="preserve">Kleinvlei MOU</t>
  </si>
  <si>
    <t xml:space="preserve">Kleinvlei</t>
  </si>
  <si>
    <t xml:space="preserve">Kraaifontein (facility not stated)</t>
  </si>
  <si>
    <t xml:space="preserve">Kraaifontein</t>
  </si>
  <si>
    <t xml:space="preserve">Kraaifontein CHC</t>
  </si>
  <si>
    <t xml:space="preserve">Kraaifontein Day Hospital</t>
  </si>
  <si>
    <t xml:space="preserve">Day Hospital</t>
  </si>
  <si>
    <t xml:space="preserve">Kraaifontein Hospital</t>
  </si>
  <si>
    <t xml:space="preserve">Kuyasa Clinic (Khayelitsha)</t>
  </si>
  <si>
    <t xml:space="preserve">Kuyasa</t>
  </si>
  <si>
    <t xml:space="preserve">Kylemore Clinic</t>
  </si>
  <si>
    <t xml:space="preserve">Kylemore</t>
  </si>
  <si>
    <t xml:space="preserve">Lady Michaelis CDC</t>
  </si>
  <si>
    <t xml:space="preserve">Lady Michaelis</t>
  </si>
  <si>
    <t xml:space="preserve">Landsdowne Clinic</t>
  </si>
  <si>
    <t xml:space="preserve">Landsdowne</t>
  </si>
  <si>
    <t xml:space="preserve">Langa CDC</t>
  </si>
  <si>
    <t xml:space="preserve">Langa</t>
  </si>
  <si>
    <t xml:space="preserve">Lentegeur (facility not stated)</t>
  </si>
  <si>
    <t xml:space="preserve">Lentegeur</t>
  </si>
  <si>
    <t xml:space="preserve">Lentegeur Clinic</t>
  </si>
  <si>
    <t xml:space="preserve">Lentegeur Hospital</t>
  </si>
  <si>
    <t xml:space="preserve">Lotus River (facility not stated)</t>
  </si>
  <si>
    <t xml:space="preserve">Lotus River</t>
  </si>
  <si>
    <t xml:space="preserve">Lotus River CDC</t>
  </si>
  <si>
    <t xml:space="preserve">Lotus River CPOA</t>
  </si>
  <si>
    <t xml:space="preserve">Macassar CHC</t>
  </si>
  <si>
    <t xml:space="preserve">Macassar</t>
  </si>
  <si>
    <t xml:space="preserve">Macassar MOU</t>
  </si>
  <si>
    <t xml:space="preserve">Manor Care CPOA</t>
  </si>
  <si>
    <t xml:space="preserve">Manor Care</t>
  </si>
  <si>
    <t xml:space="preserve">Michael Mapongwana CDC</t>
  </si>
  <si>
    <t xml:space="preserve">Michael Mapongwana</t>
  </si>
  <si>
    <t xml:space="preserve">Michael Mapongwana CHC</t>
  </si>
  <si>
    <t xml:space="preserve">Michael Mapongwana MOU</t>
  </si>
  <si>
    <t xml:space="preserve">Mitchells Plain (facility not stated)</t>
  </si>
  <si>
    <t xml:space="preserve">Mitchells Plain</t>
  </si>
  <si>
    <t xml:space="preserve">Mitchells Plain CHC</t>
  </si>
  <si>
    <t xml:space="preserve">Mitchells Plain District Hospital</t>
  </si>
  <si>
    <t xml:space="preserve">Mitchells Plain MOU</t>
  </si>
  <si>
    <t xml:space="preserve">UWC Dental Mitchells Plain</t>
  </si>
  <si>
    <t xml:space="preserve">Other</t>
  </si>
  <si>
    <t xml:space="preserve">Mowbray Maternity Hospital</t>
  </si>
  <si>
    <t xml:space="preserve">Mowbray Maternity</t>
  </si>
  <si>
    <t xml:space="preserve">New Somerset Hospital</t>
  </si>
  <si>
    <t xml:space="preserve">New Somerset</t>
  </si>
  <si>
    <t xml:space="preserve">Nolungile CDC</t>
  </si>
  <si>
    <t xml:space="preserve">Nolungile</t>
  </si>
  <si>
    <t xml:space="preserve">Nyanga (facility not stated)</t>
  </si>
  <si>
    <t xml:space="preserve">Nyanga</t>
  </si>
  <si>
    <t xml:space="preserve">Nyanga CHC</t>
  </si>
  <si>
    <t xml:space="preserve">Paarl Hospital</t>
  </si>
  <si>
    <t xml:space="preserve">Paarl</t>
  </si>
  <si>
    <t xml:space="preserve">Parow CDC</t>
  </si>
  <si>
    <t xml:space="preserve">Parow</t>
  </si>
  <si>
    <t xml:space="preserve">Pinelands (facility not stated)</t>
  </si>
  <si>
    <t xml:space="preserve">Pinelands</t>
  </si>
  <si>
    <t xml:space="preserve">Pinelands Place CPOA</t>
  </si>
  <si>
    <t xml:space="preserve">Pinelands Western EMS</t>
  </si>
  <si>
    <t xml:space="preserve">Railton Clinic</t>
  </si>
  <si>
    <t xml:space="preserve">Railton</t>
  </si>
  <si>
    <t xml:space="preserve">Ravensmead CDC</t>
  </si>
  <si>
    <t xml:space="preserve">Ravensmead</t>
  </si>
  <si>
    <t xml:space="preserve">Red Cross Air Mercy Services (CPT International)</t>
  </si>
  <si>
    <t xml:space="preserve">Red Cross Air Mercy Services</t>
  </si>
  <si>
    <t xml:space="preserve">Red Cross War Memorial Children's Hospital</t>
  </si>
  <si>
    <t xml:space="preserve">Red Cross War Memorial Children's</t>
  </si>
  <si>
    <t xml:space="preserve">Reed Street CDC</t>
  </si>
  <si>
    <t xml:space="preserve">Reed Street</t>
  </si>
  <si>
    <t xml:space="preserve">Retreat CHC</t>
  </si>
  <si>
    <t xml:space="preserve">Retreat</t>
  </si>
  <si>
    <t xml:space="preserve">Retreat MOU</t>
  </si>
  <si>
    <t xml:space="preserve">Robbie Nurock CDC</t>
  </si>
  <si>
    <t xml:space="preserve">Robbie Nurock</t>
  </si>
  <si>
    <t xml:space="preserve">Rocklands Clinic</t>
  </si>
  <si>
    <t xml:space="preserve">Rocklands</t>
  </si>
  <si>
    <t xml:space="preserve">Ruyterwacht CDC</t>
  </si>
  <si>
    <t xml:space="preserve">Ruyterwacht</t>
  </si>
  <si>
    <t xml:space="preserve">Scottsdene CDC</t>
  </si>
  <si>
    <t xml:space="preserve">Scottsdene</t>
  </si>
  <si>
    <t xml:space="preserve">Scottsdene Clinic</t>
  </si>
  <si>
    <t xml:space="preserve">Sea Point CPOA</t>
  </si>
  <si>
    <t xml:space="preserve">Sea Point</t>
  </si>
  <si>
    <t xml:space="preserve">Site B, Khayelitsha CDC</t>
  </si>
  <si>
    <t xml:space="preserve">Site B, Khayelitsha</t>
  </si>
  <si>
    <t xml:space="preserve">Site B, Khayelitsha MOU</t>
  </si>
  <si>
    <t xml:space="preserve">St Vincent CDC</t>
  </si>
  <si>
    <t xml:space="preserve">St Vincent</t>
  </si>
  <si>
    <t xml:space="preserve">Stellenbosch Hospital</t>
  </si>
  <si>
    <t xml:space="preserve">Stellenbosch</t>
  </si>
  <si>
    <t xml:space="preserve">Stikland Hospital</t>
  </si>
  <si>
    <t xml:space="preserve">Stikland</t>
  </si>
  <si>
    <t xml:space="preserve">Strand CDC</t>
  </si>
  <si>
    <t xml:space="preserve">Strand</t>
  </si>
  <si>
    <t xml:space="preserve">Strand CHC</t>
  </si>
  <si>
    <t xml:space="preserve">Symphony Way CDC</t>
  </si>
  <si>
    <t xml:space="preserve">Symphony Way</t>
  </si>
  <si>
    <t xml:space="preserve">Symphony Way CHC</t>
  </si>
  <si>
    <t xml:space="preserve">TC Newman CDC</t>
  </si>
  <si>
    <t xml:space="preserve">TC Newman</t>
  </si>
  <si>
    <t xml:space="preserve">Thembalethu CDC</t>
  </si>
  <si>
    <t xml:space="preserve">Thembalethu</t>
  </si>
  <si>
    <t xml:space="preserve">Tygerberg Hospital</t>
  </si>
  <si>
    <t xml:space="preserve">Tygerberg</t>
  </si>
  <si>
    <t xml:space="preserve">Valkenberg Hospital</t>
  </si>
  <si>
    <t xml:space="preserve">Valkenberg</t>
  </si>
  <si>
    <t xml:space="preserve">Vanguard CHC</t>
  </si>
  <si>
    <t xml:space="preserve">Vanguard</t>
  </si>
  <si>
    <t xml:space="preserve">Victoria Hospital</t>
  </si>
  <si>
    <t xml:space="preserve">Victoria</t>
  </si>
  <si>
    <t xml:space="preserve">Western Cape Rehabilitation Centre</t>
  </si>
  <si>
    <t xml:space="preserve">Worcester Hospital</t>
  </si>
  <si>
    <t xml:space="preserve">Worcester</t>
  </si>
  <si>
    <t xml:space="preserve">Department_Name</t>
  </si>
  <si>
    <t xml:space="preserve">Names_In_Source</t>
  </si>
  <si>
    <t xml:space="preserve">Registered_Students_AY2025</t>
  </si>
  <si>
    <t xml:space="preserve">Students_Note</t>
  </si>
  <si>
    <t xml:space="preserve">Faculty_Funded_Transport</t>
  </si>
  <si>
    <t xml:space="preserve">Nursing</t>
  </si>
  <si>
    <t xml:space="preserve">Nursing Science</t>
  </si>
  <si>
    <t xml:space="preserve">NURSING / Nursing</t>
  </si>
  <si>
    <t xml:space="preserve">Undergrad: 60 x 4 = 240 (AY2025 document)</t>
  </si>
  <si>
    <t xml:space="preserve">Yes (not stated otherwise)</t>
  </si>
  <si>
    <t xml:space="preserve">DEMS</t>
  </si>
  <si>
    <t xml:space="preserve">Emergency Medical Sciences</t>
  </si>
  <si>
    <t xml:space="preserve">DEMS (AY2024) / EMS (AY2025)</t>
  </si>
  <si>
    <t xml:space="preserve">AY2025 document</t>
  </si>
  <si>
    <t xml:space="preserve">MITS</t>
  </si>
  <si>
    <t xml:space="preserve">Medical Imaging and Therapeutic Sciences</t>
  </si>
  <si>
    <t xml:space="preserve">AY2025 document: not all registered students use CPUT transport</t>
  </si>
  <si>
    <t xml:space="preserve">Biomed</t>
  </si>
  <si>
    <t xml:space="preserve">Biomed (full name not stated in source)</t>
  </si>
  <si>
    <t xml:space="preserve">No faculty-funded transport (AY2025 document)</t>
  </si>
  <si>
    <t xml:space="preserve">Vehicle_Label</t>
  </si>
  <si>
    <t xml:space="preserve">Capacity</t>
  </si>
  <si>
    <t xml:space="preserve">Basis</t>
  </si>
  <si>
    <t xml:space="preserve">4-seater</t>
  </si>
  <si>
    <t xml:space="preserve">AY2024: value in 'number of students' column read as capacity (to confirm)</t>
  </si>
  <si>
    <t xml:space="preserve">7-seater</t>
  </si>
  <si>
    <t xml:space="preserve">10-seater</t>
  </si>
  <si>
    <t xml:space="preserve">13-seater</t>
  </si>
  <si>
    <t xml:space="preserve">18-seater</t>
  </si>
  <si>
    <t xml:space="preserve">19-seater</t>
  </si>
  <si>
    <t xml:space="preserve">22-seater</t>
  </si>
  <si>
    <t xml:space="preserve">60-seater</t>
  </si>
  <si>
    <t xml:space="preserve">Mixed 7 / 13-seater (not specified per site)</t>
  </si>
  <si>
    <t xml:space="preserve">AY2025 Nursing: document says mostly 7-seaters, also 13-seaters</t>
  </si>
  <si>
    <t xml:space="preserve">Year</t>
  </si>
  <si>
    <t xml:space="preserve">Month_No</t>
  </si>
  <si>
    <t xml:space="preserve">Month</t>
  </si>
  <si>
    <t xml:space="preserve">Quarter</t>
  </si>
  <si>
    <t xml:space="preserve">Weekday</t>
  </si>
  <si>
    <t xml:space="preserve">Is_Weekend</t>
  </si>
  <si>
    <t xml:space="preserve">Public_Holiday</t>
  </si>
  <si>
    <t xml:space="preserve">New Year's Day</t>
  </si>
  <si>
    <t xml:space="preserve">Human Rights Day</t>
  </si>
  <si>
    <t xml:space="preserve">Good Friday</t>
  </si>
  <si>
    <t xml:space="preserve">Family Day</t>
  </si>
  <si>
    <t xml:space="preserve">Freedom Day</t>
  </si>
  <si>
    <t xml:space="preserve">Workers' Day</t>
  </si>
  <si>
    <t xml:space="preserve">General Election Day</t>
  </si>
  <si>
    <t xml:space="preserve">Youth Day</t>
  </si>
  <si>
    <t xml:space="preserve">Youth Day (observed)</t>
  </si>
  <si>
    <t xml:space="preserve">National Women's Day</t>
  </si>
  <si>
    <t xml:space="preserve">Heritage Day</t>
  </si>
  <si>
    <t xml:space="preserve">Day of Reconciliation</t>
  </si>
  <si>
    <t xml:space="preserve">Christmas Day</t>
  </si>
  <si>
    <t xml:space="preserve">Day of Goodwill</t>
  </si>
  <si>
    <t xml:space="preserve">Freedom Day (observed)</t>
  </si>
  <si>
    <t xml:space="preserve">Issue_ID</t>
  </si>
  <si>
    <t xml:space="preserve">Severity</t>
  </si>
  <si>
    <t xml:space="preserve">Source</t>
  </si>
  <si>
    <t xml:space="preserve">Records affected</t>
  </si>
  <si>
    <t xml:space="preserve">Field</t>
  </si>
  <si>
    <t xml:space="preserve">Issue</t>
  </si>
  <si>
    <t xml:space="preserve">Treatment in this workbook</t>
  </si>
  <si>
    <t xml:space="preserve">Action needed</t>
  </si>
  <si>
    <t xml:space="preserve">DI-01</t>
  </si>
  <si>
    <t xml:space="preserve">Medium</t>
  </si>
  <si>
    <t xml:space="preserve">AY2024 requests</t>
  </si>
  <si>
    <t xml:space="preserve">54 rows (TSQT0002828, TSQT0002974, TSQT0002977, TSQT0003200, TSQT0003201, TSQT0003285, TSQT0003287, TSQT0003294, TSQT0003295, TSQT0003296, TSQT0003297, TSQT0003336)</t>
  </si>
  <si>
    <t xml:space="preserve">cost per unit / units</t>
  </si>
  <si>
    <t xml:space="preserve">Cost per unit and units are in each other's columns on 54 rows (e.g. units 30 and cost 850).</t>
  </si>
  <si>
    <t xml:space="preserve">Smaller value treated as units, larger as cost per unit. Every row's units x cost equals the stated total (checked).</t>
  </si>
  <si>
    <t xml:space="preserve">Confirm with the TSQT quotes; fix at source going forward.</t>
  </si>
  <si>
    <t xml:space="preserve">DI-02</t>
  </si>
  <si>
    <t xml:space="preserve">29 rows</t>
  </si>
  <si>
    <t xml:space="preserve">TSQT number</t>
  </si>
  <si>
    <t xml:space="preserve">TSQT number is blank on continuation rows.</t>
  </si>
  <si>
    <t xml:space="preserve">Filled down from the row above (TSQT_Source = 'Filled down...'). A few blocks have no TSQT of their own on the first row (e.g. rows below TSQT0003296/5/4), so the fill may attach a row to the wrong TSQT.</t>
  </si>
  <si>
    <t xml:space="preserve">Check blank-TSQT rows against the quotes.</t>
  </si>
  <si>
    <t xml:space="preserve">DI-03</t>
  </si>
  <si>
    <t xml:space="preserve">Low</t>
  </si>
  <si>
    <t xml:space="preserve">82 rows</t>
  </si>
  <si>
    <t xml:space="preserve">Academic department</t>
  </si>
  <si>
    <t xml:space="preserve">Department only stated on the first row of each block; spelled NURSING / Nursing, DEMS (AY2025 document says EMS).</t>
  </si>
  <si>
    <t xml:space="preserve">Filled down; codes standardised to Nursing, DEMS, MITS.</t>
  </si>
  <si>
    <t xml:space="preserve">Agree one department code list with FHWS.</t>
  </si>
  <si>
    <t xml:space="preserve">DI-04</t>
  </si>
  <si>
    <t xml:space="preserve">High</t>
  </si>
  <si>
    <t xml:space="preserve">14 lines: T2024-010, T2024-021, T2024-034, T2024-035, T2024-036, T2024-037, T2024-043, T2024-044, T2024-068, T2024-069, T2024-070, T2024-071, T2024-072, T2024-092</t>
  </si>
  <si>
    <t xml:space="preserve">Date / units</t>
  </si>
  <si>
    <t xml:space="preserve">Number of dates parsed from the date text differs from units booked (long ranges where only some days were used, typos such as a missing '&amp;', or units that do not match the dates).</t>
  </si>
  <si>
    <t xml:space="preserve">Start_Date/End_Date and Parsed_Trip_Days come from the text; Trips uses units as booked. Bridge_Trip_Date rows for these lines are marked Reconciled = No.</t>
  </si>
  <si>
    <t xml:space="preserve">Confirm actual trip days for these lines before using date-level analysis.</t>
  </si>
  <si>
    <t xml:space="preserve">DI-05</t>
  </si>
  <si>
    <t xml:space="preserve">11 lines</t>
  </si>
  <si>
    <t xml:space="preserve">Weekday ranges only reconcile to units if a public holiday inside the range was counted as a trip day (e.g. 25-29 March 2024 includes Good Friday; 20-31 May 2024 includes 29 May election day).</t>
  </si>
  <si>
    <t xml:space="preserve">Holiday counted only where that makes the dates match units.</t>
  </si>
  <si>
    <t xml:space="preserve">Confirm whether trips ran on those public holidays.</t>
  </si>
  <si>
    <t xml:space="preserve">DI-06</t>
  </si>
  <si>
    <t xml:space="preserve">Whole sheet</t>
  </si>
  <si>
    <t xml:space="preserve">Date column mixes real Excel dates, Excel serial numbers (e.g. 45418) and free text, with typos ('June 202', 'May2024', line breaks inside the text).</t>
  </si>
  <si>
    <t xml:space="preserve">Parsed into Start_Date, End_Date and a trip-day list; original text kept in Dates_As_Captured.</t>
  </si>
  <si>
    <t xml:space="preserve">Use one date per row or a date list in future submissions.</t>
  </si>
  <si>
    <t xml:space="preserve">DI-07</t>
  </si>
  <si>
    <t xml:space="preserve">22 lines</t>
  </si>
  <si>
    <t xml:space="preserve">Version date</t>
  </si>
  <si>
    <t xml:space="preserve">File is dated 19 Aug 2024 but 22 lines run to September-October 2024 (DEMS and MITS). These were booked/planned when the file was saved.</t>
  </si>
  <si>
    <t xml:space="preserve">Kept as recorded. AY2024 totals are bookings, not confirmed completed trips.</t>
  </si>
  <si>
    <t xml:space="preserve">Get the final AY2024 submissions or invoices to confirm actuals.</t>
  </si>
  <si>
    <t xml:space="preserve">DI-08</t>
  </si>
  <si>
    <t xml:space="preserve">number of students column</t>
  </si>
  <si>
    <t xml:space="preserve">Vehicle</t>
  </si>
  <si>
    <t xml:space="preserve">Column 'number of students' holds 4, 7, 10, 13, 18, 19, 22 and 60. The AY2025 document refers to 7- and 13-seater vehicles, which supports reading it as vehicle capacity.</t>
  </si>
  <si>
    <t xml:space="preserve">Read as vehicle capacity; stored in Students_As_Captured and linked to Dim_Vehicle.</t>
  </si>
  <si>
    <t xml:space="preserve">Confirm meaning with FHWS. Values 4, 10, 18, 19, 22 and 60 look like one-off or non-standard vehicles.</t>
  </si>
  <si>
    <t xml:space="preserve">DI-09</t>
  </si>
  <si>
    <t xml:space="preserve">T2024-034/T2024-035</t>
  </si>
  <si>
    <t xml:space="preserve">Whole row</t>
  </si>
  <si>
    <t xml:space="preserve">Rows with the same TSQT, dates, route, units and cost appear twice.</t>
  </si>
  <si>
    <t xml:space="preserve">Both kept (cost counted twice).</t>
  </si>
  <si>
    <t xml:space="preserve">Confirm whether this is a duplicate booking or a duplicate entry (cost impact shown by the pair).</t>
  </si>
  <si>
    <t xml:space="preserve">DI-10</t>
  </si>
  <si>
    <t xml:space="preserve">Route text</t>
  </si>
  <si>
    <t xml:space="preserve">Site</t>
  </si>
  <si>
    <t xml:space="preserve">Facility names are inconsistent (Bremmer/Bremer, Worester, Eersteriver, MOU vs CDC vs CHC vs clinic) and many clinics are listed without a facility type.</t>
  </si>
  <si>
    <t xml:space="preserve">Standardised to the AY2025 document's names where the match is clear; otherwise the site is named '&lt;Name&gt; (facility not stated)'. Locality column groups MOU/CDC/CHC/clinic of the same area (not assumed to be the same building).</t>
  </si>
  <si>
    <t xml:space="preserve">Agree a facility master list with FHWS.</t>
  </si>
  <si>
    <t xml:space="preserve">DI-11</t>
  </si>
  <si>
    <t xml:space="preserve">DEMS: 'Gugulethu hospital'</t>
  </si>
  <si>
    <t xml:space="preserve">AY2024 DEMS route says Gugulethu hospital; the AY2025 document lists Gugulethu CHC for DEMS.</t>
  </si>
  <si>
    <t xml:space="preserve">Kept as Gugulethu Hospital (as stated).</t>
  </si>
  <si>
    <t xml:space="preserve">Confirm whether these are the same facility.</t>
  </si>
  <si>
    <t xml:space="preserve">DI-12</t>
  </si>
  <si>
    <t xml:space="preserve">MITS: 'Kraaifontein hospital'</t>
  </si>
  <si>
    <t xml:space="preserve">AY2024 MITS says Kraaifontein hospital; AY2025 says Kraaifontein Day Hospital (MITS) and Kraaifontein CHC (DEMS/Nursing).</t>
  </si>
  <si>
    <t xml:space="preserve">Kept as Kraaifontein Hospital (as stated).</t>
  </si>
  <si>
    <t xml:space="preserve">Confirm facility.</t>
  </si>
  <si>
    <t xml:space="preserve">DI-13</t>
  </si>
  <si>
    <t xml:space="preserve">Non-clinical stops</t>
  </si>
  <si>
    <t xml:space="preserve">Cape Town airport trips (2 Nursing lines) and a Worcester one-way trip appear among clinical routes.</t>
  </si>
  <si>
    <t xml:space="preserve">Airport kept as a site of type 'Other (non-clinical)'. Worcester one-way lines flagged in Direction.</t>
  </si>
  <si>
    <t xml:space="preserve">Decide whether airport trips belong in the clinical-transport dashboard.</t>
  </si>
  <si>
    <t xml:space="preserve">DI-14</t>
  </si>
  <si>
    <t xml:space="preserve">Whole document</t>
  </si>
  <si>
    <t xml:space="preserve">Trips / cost</t>
  </si>
  <si>
    <t xml:space="preserve">AY2025 document holds requirements only (sites, shifts, student numbers). It has no TSQT numbers, trip dates, units or costs.</t>
  </si>
  <si>
    <t xml:space="preserve">Loaded as 96 'Requirement' lines (Record_Type) with Trips and costs blank; period set to 1 Jan - 31 Dec 2025. Exclude them from trip and cost measures.</t>
  </si>
  <si>
    <t xml:space="preserve">Add AY2025 TSQT submissions when available.</t>
  </si>
  <si>
    <t xml:space="preserve">DI-15</t>
  </si>
  <si>
    <t xml:space="preserve">Site count</t>
  </si>
  <si>
    <t xml:space="preserve">Document says 55 sites but lists 64.</t>
  </si>
  <si>
    <t xml:space="preserve">All 64 loaded.</t>
  </si>
  <si>
    <t xml:space="preserve">Confirm correct site list.</t>
  </si>
  <si>
    <t xml:space="preserve">DI-16</t>
  </si>
  <si>
    <t xml:space="preserve">Document says 7 sites but lists 6.</t>
  </si>
  <si>
    <t xml:space="preserve">Biomed kept in Dim_Department only (no faculty-funded transport), not in Fact_Trips or Dim_Site.</t>
  </si>
  <si>
    <t xml:space="preserve">Confirm site list and whether Biomed should be in the dashboard.</t>
  </si>
  <si>
    <t xml:space="preserve">DI-17</t>
  </si>
  <si>
    <t xml:space="preserve">Total row</t>
  </si>
  <si>
    <t xml:space="preserve">Students</t>
  </si>
  <si>
    <t xml:space="preserve">Document total (296 students per month) = 46 (EMS) + about 200 (MITS) + 50 (Nursing); Biomed is not included.</t>
  </si>
  <si>
    <t xml:space="preserve">Noted only.</t>
  </si>
  <si>
    <t xml:space="preserve">None.</t>
  </si>
  <si>
    <t xml:space="preserve">DI-18</t>
  </si>
  <si>
    <t xml:space="preserve">MITS / Nursing</t>
  </si>
  <si>
    <t xml:space="preserve">Student numbers per site are ranges or per-week figures (e.g. '2-4 per week', '1-5').</t>
  </si>
  <si>
    <t xml:space="preserve">Kept as text in Students_As_Captured.</t>
  </si>
  <si>
    <t xml:space="preserve">Provide expected numbers per trip if possible.</t>
  </si>
  <si>
    <t xml:space="preserve">DI-19</t>
  </si>
  <si>
    <t xml:space="preserve">Scope</t>
  </si>
  <si>
    <t xml:space="preserve">AY2026</t>
  </si>
  <si>
    <t xml:space="preserve">Data</t>
  </si>
  <si>
    <t xml:space="preserve">2026 transport data was written off; the brief's period (2024 to Semester 1 2026) is therefore only covered for 2024 and 2025.</t>
  </si>
  <si>
    <t xml:space="preserve">Dim_Date covers 2024-2025 only.</t>
  </si>
  <si>
    <t xml:space="preserve">Confirm scope with FHWS.</t>
  </si>
  <si>
    <t xml:space="preserve">DI-20</t>
  </si>
  <si>
    <t xml:space="preserve">Assumption</t>
  </si>
  <si>
    <t xml:space="preserve">Dim_Date</t>
  </si>
  <si>
    <t xml:space="preserve">Public holidays</t>
  </si>
  <si>
    <t xml:space="preserve">South African public holidays 2024-2025 entered from the standard calendar (including 29 May 2024 election day and observed days).</t>
  </si>
  <si>
    <t xml:space="preserve">Used in Dim_Date and the weekday date parsing.</t>
  </si>
  <si>
    <t xml:space="preserve">Verify against the CPUT calendar. CPUT term dates are not included.</t>
  </si>
  <si>
    <t xml:space="preserve">DI-21</t>
  </si>
  <si>
    <t xml:space="preserve">96 AY2025 lines</t>
  </si>
  <si>
    <t xml:space="preserve">Cost per trip</t>
  </si>
  <si>
    <t xml:space="preserve">AY2025 has no quotes. Cost per trip was assumed: same department's AY2024 cost for the same site (shared across the sites of a multi-site AY2024 route), else 3,600 (README cell) for sites the department did not serve in AY2024. Counts: AY2024 multi-site route, cost shared across its sites (same department): 45; AY2024 single-site trip (same department): 22; Assumed (site not served by this department in AY2024): 29</t>
  </si>
  <si>
    <t xml:space="preserve">Cost_Basis, Cost_Source_Trip_IDs and Cost_Note columns in Fact_Trips show the source for every AY2025 line. Trips are blank, so no AY2025 total is calculated.</t>
  </si>
  <si>
    <t xml:space="preserve">Replace with AY2025 TSQT quotes when available; decide whether same-locality sites (see Cost_Note) should use AY2024 costs.</t>
  </si>
  <si>
    <t xml:space="preserve">FHWS student transport: schedule organiser (dummy template)</t>
  </si>
  <si>
    <t xml:space="preserve">Legend: yellow cells are for typing (Department, Site and Vehicle have drop-down lists); grey cells are formulas. Rows 5-7 are EXAMPLES: overwrite or delete them. Cost per trip is typed in from the TSQT quote (no rate card yet).</t>
  </si>
  <si>
    <t xml:space="preserve">Department</t>
  </si>
  <si>
    <t xml:space="preserve">Depart time</t>
  </si>
  <si>
    <t xml:space="preserve">Return time</t>
  </si>
  <si>
    <t xml:space="preserve">Total cost</t>
  </si>
  <si>
    <t xml:space="preserve">Week no.</t>
  </si>
  <si>
    <t xml:space="preserve">Consolidation flag</t>
  </si>
  <si>
    <t xml:space="preserve">Total</t>
  </si>
</sst>
</file>

<file path=xl/styles.xml><?xml version="1.0" encoding="utf-8"?>
<styleSheet xmlns="http://schemas.openxmlformats.org/spreadsheetml/2006/main">
  <numFmts count="5">
    <numFmt numFmtId="164" formatCode="General"/>
    <numFmt numFmtId="165" formatCode="#,##0"/>
    <numFmt numFmtId="166" formatCode="yyyy\-mm\-dd"/>
    <numFmt numFmtId="167" formatCode="hh:mm"/>
    <numFmt numFmtId="168" formatCode="General"/>
  </numFmts>
  <fonts count="11">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b val="true"/>
      <sz val="10"/>
      <name val="Arial"/>
      <family val="0"/>
      <charset val="1"/>
    </font>
    <font>
      <sz val="10"/>
      <name val="Arial"/>
      <family val="0"/>
      <charset val="1"/>
    </font>
    <font>
      <sz val="10"/>
      <color rgb="FF0000FF"/>
      <name val="Arial"/>
      <family val="0"/>
      <charset val="1"/>
    </font>
    <font>
      <b val="true"/>
      <sz val="10"/>
      <color rgb="FFFFFFFF"/>
      <name val="Arial"/>
      <family val="0"/>
      <charset val="1"/>
    </font>
    <font>
      <sz val="10"/>
      <color rgb="FF008000"/>
      <name val="Arial"/>
      <family val="0"/>
      <charset val="1"/>
    </font>
    <font>
      <i val="true"/>
      <sz val="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EDEDED"/>
      </patternFill>
    </fill>
    <fill>
      <patternFill patternType="solid">
        <fgColor rgb="FFEDEDED"/>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6"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7" fontId="6" fillId="0"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5" fontId="9" fillId="0" borderId="1" xfId="0" applyFont="true" applyBorder="tru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6" fontId="6" fillId="3" borderId="1" xfId="0" applyFont="true" applyBorder="tru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bottom" textRotation="0" wrapText="false" indent="0" shrinkToFit="false"/>
      <protection locked="true" hidden="false"/>
    </xf>
    <xf numFmtId="167" fontId="6" fillId="3" borderId="1" xfId="0" applyFont="true" applyBorder="true" applyAlignment="true" applyProtection="false">
      <alignment horizontal="general" vertical="bottom" textRotation="0" wrapText="false" indent="0" shrinkToFit="false"/>
      <protection locked="true" hidden="false"/>
    </xf>
    <xf numFmtId="165" fontId="6" fillId="3" borderId="1" xfId="0" applyFont="true" applyBorder="true" applyAlignment="true" applyProtection="false">
      <alignment horizontal="general" vertical="bottom" textRotation="0" wrapText="false" indent="0" shrinkToFit="false"/>
      <protection locked="true" hidden="false"/>
    </xf>
    <xf numFmtId="165" fontId="6" fillId="4" borderId="1" xfId="0" applyFont="true" applyBorder="true" applyAlignment="true" applyProtection="false">
      <alignment horizontal="general" vertical="bottom" textRotation="0" wrapText="false" indent="0" shrinkToFit="false"/>
      <protection locked="true" hidden="false"/>
    </xf>
    <xf numFmtId="168" fontId="6" fillId="4"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08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20"/>
  </cols>
  <sheetData>
    <row r="1" customFormat="false" ht="15" hidden="false" customHeight="true" outlineLevel="0" collapsed="false">
      <c r="A1" s="2" t="s">
        <v>0</v>
      </c>
    </row>
    <row r="3" customFormat="false" ht="15" hidden="false" customHeight="true" outlineLevel="0" collapsed="false">
      <c r="A3" s="3" t="s">
        <v>1</v>
      </c>
      <c r="B3" s="4" t="s">
        <v>2</v>
      </c>
    </row>
    <row r="4" customFormat="false" ht="23.25" hidden="false" customHeight="true" outlineLevel="0" collapsed="false">
      <c r="A4" s="3" t="s">
        <v>3</v>
      </c>
      <c r="B4" s="4" t="s">
        <v>4</v>
      </c>
    </row>
    <row r="5" customFormat="false" ht="23.25" hidden="false" customHeight="true" outlineLevel="0" collapsed="false">
      <c r="A5" s="3" t="s">
        <v>5</v>
      </c>
      <c r="B5" s="4" t="s">
        <v>6</v>
      </c>
    </row>
    <row r="6" customFormat="false" ht="15" hidden="false" customHeight="true" outlineLevel="0" collapsed="false">
      <c r="A6" s="3" t="s">
        <v>7</v>
      </c>
      <c r="B6" s="4" t="s">
        <v>8</v>
      </c>
    </row>
    <row r="7" customFormat="false" ht="23.25" hidden="false" customHeight="true" outlineLevel="0" collapsed="false">
      <c r="A7" s="3" t="s">
        <v>9</v>
      </c>
      <c r="B7" s="4" t="s">
        <v>10</v>
      </c>
    </row>
    <row r="8" customFormat="false" ht="23.25" hidden="false" customHeight="true" outlineLevel="0" collapsed="false">
      <c r="A8" s="3" t="s">
        <v>11</v>
      </c>
      <c r="B8" s="4" t="s">
        <v>12</v>
      </c>
    </row>
    <row r="9" customFormat="false" ht="15" hidden="false" customHeight="true" outlineLevel="0" collapsed="false">
      <c r="A9" s="3" t="s">
        <v>13</v>
      </c>
      <c r="B9" s="4" t="s">
        <v>14</v>
      </c>
    </row>
    <row r="10" customFormat="false" ht="15" hidden="false" customHeight="true" outlineLevel="0" collapsed="false">
      <c r="A10" s="3" t="s">
        <v>15</v>
      </c>
      <c r="B10" s="4" t="s">
        <v>16</v>
      </c>
    </row>
    <row r="11" customFormat="false" ht="15" hidden="false" customHeight="true" outlineLevel="0" collapsed="false">
      <c r="A11" s="3" t="s">
        <v>17</v>
      </c>
      <c r="B11" s="4" t="s">
        <v>18</v>
      </c>
    </row>
    <row r="12" customFormat="false" ht="23.25" hidden="false" customHeight="true" outlineLevel="0" collapsed="false">
      <c r="A12" s="3" t="s">
        <v>19</v>
      </c>
      <c r="B12" s="4" t="s">
        <v>20</v>
      </c>
    </row>
    <row r="14" customFormat="false" ht="15" hidden="false" customHeight="false" outlineLevel="0" collapsed="false">
      <c r="A14" s="5" t="s">
        <v>21</v>
      </c>
    </row>
    <row r="15" customFormat="false" ht="15" hidden="false" customHeight="false" outlineLevel="0" collapsed="false">
      <c r="A15" s="6" t="s">
        <v>22</v>
      </c>
      <c r="B15" s="7" t="n">
        <v>3600</v>
      </c>
    </row>
    <row r="16" customFormat="false" ht="35.05" hidden="false" customHeight="false" outlineLevel="0" collapsed="false">
      <c r="A16" s="8" t="s">
        <v>23</v>
      </c>
      <c r="B16" s="4"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8"/>
    <col collapsed="false" customWidth="true" hidden="false" outlineLevel="0" max="3" min="3" style="1" width="26"/>
    <col collapsed="false" customWidth="true" hidden="false" outlineLevel="0" max="4" min="4" style="1" width="8"/>
    <col collapsed="false" customWidth="true" hidden="false" outlineLevel="0" max="6" min="5" style="1" width="10"/>
    <col collapsed="false" customWidth="true" hidden="false" outlineLevel="0" max="7" min="7" style="1" width="14"/>
    <col collapsed="false" customWidth="true" hidden="false" outlineLevel="0" max="8" min="8" style="1" width="18"/>
    <col collapsed="false" customWidth="true" hidden="false" outlineLevel="0" max="10" min="9" style="1" width="12"/>
    <col collapsed="false" customWidth="true" hidden="false" outlineLevel="0" max="11" min="11" style="1" width="40"/>
    <col collapsed="false" customWidth="true" hidden="false" outlineLevel="0" max="12" min="12" style="1" width="10"/>
    <col collapsed="false" customWidth="true" hidden="false" outlineLevel="0" max="13" min="13" style="1" width="8"/>
    <col collapsed="false" customWidth="true" hidden="false" outlineLevel="0" max="14" min="14" style="1" width="34"/>
    <col collapsed="false" customWidth="true" hidden="false" outlineLevel="0" max="16" min="15" style="1" width="9"/>
    <col collapsed="false" customWidth="true" hidden="false" outlineLevel="0" max="17" min="17" style="1" width="18"/>
    <col collapsed="false" customWidth="true" hidden="false" outlineLevel="0" max="18" min="18" style="1" width="32"/>
    <col collapsed="false" customWidth="true" hidden="false" outlineLevel="0" max="19" min="19" style="1" width="12"/>
    <col collapsed="false" customWidth="true" hidden="false" outlineLevel="0" max="20" min="20" style="1" width="32"/>
    <col collapsed="false" customWidth="true" hidden="false" outlineLevel="0" max="21" min="21" style="1" width="52"/>
    <col collapsed="false" customWidth="true" hidden="false" outlineLevel="0" max="22" min="22" style="1" width="10"/>
    <col collapsed="false" customWidth="true" hidden="false" outlineLevel="0" max="23" min="23" style="1" width="11"/>
    <col collapsed="false" customWidth="true" hidden="false" outlineLevel="0" max="24" min="24" style="1" width="12"/>
    <col collapsed="false" customWidth="true" hidden="false" outlineLevel="0" max="25" min="25" style="1" width="10"/>
    <col collapsed="false" customWidth="true" hidden="false" outlineLevel="0" max="26" min="26" style="0" width="44"/>
    <col collapsed="false" customWidth="true" hidden="false" outlineLevel="0" max="27" min="27" style="0" width="30"/>
    <col collapsed="false" customWidth="true" hidden="false" outlineLevel="0" max="28" min="28" style="0" width="70"/>
  </cols>
  <sheetData>
    <row r="1" customFormat="false" ht="34.5" hidden="false" customHeight="true" outlineLevel="0" collapsed="false">
      <c r="A1" s="9" t="s">
        <v>25</v>
      </c>
      <c r="B1" s="9" t="s">
        <v>26</v>
      </c>
      <c r="C1" s="9" t="s">
        <v>27</v>
      </c>
      <c r="D1" s="9" t="s">
        <v>28</v>
      </c>
      <c r="E1" s="9" t="s">
        <v>29</v>
      </c>
      <c r="F1" s="9" t="s">
        <v>30</v>
      </c>
      <c r="G1" s="9" t="s">
        <v>31</v>
      </c>
      <c r="H1" s="9" t="s">
        <v>32</v>
      </c>
      <c r="I1" s="9" t="s">
        <v>33</v>
      </c>
      <c r="J1" s="9" t="s">
        <v>34</v>
      </c>
      <c r="K1" s="9" t="s">
        <v>35</v>
      </c>
      <c r="L1" s="9" t="s">
        <v>36</v>
      </c>
      <c r="M1" s="9" t="s">
        <v>37</v>
      </c>
      <c r="N1" s="9" t="s">
        <v>38</v>
      </c>
      <c r="O1" s="9" t="s">
        <v>39</v>
      </c>
      <c r="P1" s="9" t="s">
        <v>40</v>
      </c>
      <c r="Q1" s="9" t="s">
        <v>41</v>
      </c>
      <c r="R1" s="9" t="s">
        <v>42</v>
      </c>
      <c r="S1" s="9" t="s">
        <v>43</v>
      </c>
      <c r="T1" s="9" t="s">
        <v>44</v>
      </c>
      <c r="U1" s="9" t="s">
        <v>45</v>
      </c>
      <c r="V1" s="9" t="s">
        <v>46</v>
      </c>
      <c r="W1" s="9" t="s">
        <v>47</v>
      </c>
      <c r="X1" s="9" t="s">
        <v>48</v>
      </c>
      <c r="Y1" s="9" t="s">
        <v>49</v>
      </c>
      <c r="Z1" s="9" t="s">
        <v>50</v>
      </c>
      <c r="AA1" s="9" t="s">
        <v>51</v>
      </c>
      <c r="AB1" s="9" t="s">
        <v>52</v>
      </c>
    </row>
    <row r="2" customFormat="false" ht="15" hidden="false" customHeight="true" outlineLevel="0" collapsed="false">
      <c r="A2" s="10" t="s">
        <v>53</v>
      </c>
      <c r="B2" s="10" t="s">
        <v>54</v>
      </c>
      <c r="C2" s="10" t="s">
        <v>55</v>
      </c>
      <c r="D2" s="10" t="n">
        <v>1</v>
      </c>
      <c r="E2" s="10" t="str">
        <f aca="false">INDEX(Dim_Department!$B$2:$B$5,MATCH(D2,Dim_Department!$A$2:$A$5,0))</f>
        <v>Nursing</v>
      </c>
      <c r="F2" s="10" t="s">
        <v>56</v>
      </c>
      <c r="G2" s="10" t="s">
        <v>57</v>
      </c>
      <c r="H2" s="10" t="s">
        <v>58</v>
      </c>
      <c r="I2" s="11" t="n">
        <v>45383</v>
      </c>
      <c r="J2" s="11" t="n">
        <v>45383</v>
      </c>
      <c r="K2" s="12" t="s">
        <v>59</v>
      </c>
      <c r="L2" s="10" t="n">
        <v>1</v>
      </c>
      <c r="M2" s="10" t="n">
        <v>1</v>
      </c>
      <c r="N2" s="12" t="s">
        <v>60</v>
      </c>
      <c r="O2" s="13"/>
      <c r="P2" s="13"/>
      <c r="Q2" s="10" t="s">
        <v>61</v>
      </c>
      <c r="R2" s="12" t="s">
        <v>62</v>
      </c>
      <c r="S2" s="10" t="n">
        <v>10</v>
      </c>
      <c r="T2" s="10" t="s">
        <v>63</v>
      </c>
      <c r="U2" s="12" t="s">
        <v>64</v>
      </c>
      <c r="V2" s="10" t="n">
        <f aca="false">COUNTIF(Bridge_Trip_Site!$A$2:$A$2000,A2)</f>
        <v>1</v>
      </c>
      <c r="W2" s="14" t="n">
        <v>3600</v>
      </c>
      <c r="X2" s="14" t="n">
        <f aca="false">IF(AND(ISNUMBER(M2),ISNUMBER(W2)),M2*W2,"")</f>
        <v>3600</v>
      </c>
      <c r="Y2" s="10" t="n">
        <v>3</v>
      </c>
      <c r="Z2" s="12" t="s">
        <v>65</v>
      </c>
      <c r="AA2" s="12"/>
      <c r="AB2" s="12"/>
    </row>
    <row r="3" customFormat="false" ht="15" hidden="false" customHeight="true" outlineLevel="0" collapsed="false">
      <c r="A3" s="10" t="s">
        <v>66</v>
      </c>
      <c r="B3" s="10" t="s">
        <v>54</v>
      </c>
      <c r="C3" s="10" t="s">
        <v>55</v>
      </c>
      <c r="D3" s="10" t="n">
        <v>1</v>
      </c>
      <c r="E3" s="10" t="str">
        <f aca="false">INDEX(Dim_Department!$B$2:$B$5,MATCH(D3,Dim_Department!$A$2:$A$5,0))</f>
        <v>Nursing</v>
      </c>
      <c r="F3" s="10" t="s">
        <v>56</v>
      </c>
      <c r="G3" s="10" t="s">
        <v>57</v>
      </c>
      <c r="H3" s="10" t="s">
        <v>58</v>
      </c>
      <c r="I3" s="11" t="n">
        <v>45423</v>
      </c>
      <c r="J3" s="11" t="n">
        <v>45423</v>
      </c>
      <c r="K3" s="12" t="s">
        <v>67</v>
      </c>
      <c r="L3" s="10" t="n">
        <v>1</v>
      </c>
      <c r="M3" s="10" t="n">
        <v>1</v>
      </c>
      <c r="N3" s="12" t="s">
        <v>60</v>
      </c>
      <c r="O3" s="13"/>
      <c r="P3" s="13"/>
      <c r="Q3" s="10" t="s">
        <v>61</v>
      </c>
      <c r="R3" s="12" t="s">
        <v>68</v>
      </c>
      <c r="S3" s="10" t="n">
        <v>10</v>
      </c>
      <c r="T3" s="10" t="s">
        <v>69</v>
      </c>
      <c r="U3" s="12" t="s">
        <v>70</v>
      </c>
      <c r="V3" s="10" t="n">
        <f aca="false">COUNTIF(Bridge_Trip_Site!$A$2:$A$2000,A3)</f>
        <v>1</v>
      </c>
      <c r="W3" s="14" t="n">
        <v>3600</v>
      </c>
      <c r="X3" s="14" t="n">
        <f aca="false">IF(AND(ISNUMBER(M3),ISNUMBER(W3)),M3*W3,"")</f>
        <v>3600</v>
      </c>
      <c r="Y3" s="10" t="n">
        <v>4</v>
      </c>
      <c r="Z3" s="12" t="s">
        <v>65</v>
      </c>
      <c r="AA3" s="12"/>
      <c r="AB3" s="12"/>
    </row>
    <row r="4" customFormat="false" ht="23.25" hidden="false" customHeight="true" outlineLevel="0" collapsed="false">
      <c r="A4" s="10" t="s">
        <v>71</v>
      </c>
      <c r="B4" s="10" t="s">
        <v>54</v>
      </c>
      <c r="C4" s="10" t="s">
        <v>55</v>
      </c>
      <c r="D4" s="10" t="n">
        <v>1</v>
      </c>
      <c r="E4" s="10" t="str">
        <f aca="false">INDEX(Dim_Department!$B$2:$B$5,MATCH(D4,Dim_Department!$A$2:$A$5,0))</f>
        <v>Nursing</v>
      </c>
      <c r="F4" s="10" t="s">
        <v>72</v>
      </c>
      <c r="G4" s="10" t="s">
        <v>73</v>
      </c>
      <c r="H4" s="10" t="s">
        <v>58</v>
      </c>
      <c r="I4" s="11" t="n">
        <v>45384</v>
      </c>
      <c r="J4" s="11" t="n">
        <v>45394</v>
      </c>
      <c r="K4" s="12" t="s">
        <v>74</v>
      </c>
      <c r="L4" s="10" t="n">
        <v>9</v>
      </c>
      <c r="M4" s="10" t="n">
        <v>9</v>
      </c>
      <c r="N4" s="12" t="s">
        <v>75</v>
      </c>
      <c r="O4" s="13" t="n">
        <v>0.229166666666667</v>
      </c>
      <c r="P4" s="13" t="n">
        <v>0.8125</v>
      </c>
      <c r="Q4" s="10" t="s">
        <v>76</v>
      </c>
      <c r="R4" s="12" t="s">
        <v>77</v>
      </c>
      <c r="S4" s="10" t="n">
        <v>13</v>
      </c>
      <c r="T4" s="10" t="s">
        <v>78</v>
      </c>
      <c r="U4" s="12" t="s">
        <v>79</v>
      </c>
      <c r="V4" s="10" t="n">
        <f aca="false">COUNTIF(Bridge_Trip_Site!$A$2:$A$2000,A4)</f>
        <v>2</v>
      </c>
      <c r="W4" s="14" t="n">
        <v>980</v>
      </c>
      <c r="X4" s="14" t="n">
        <f aca="false">IF(AND(ISNUMBER(M4),ISNUMBER(W4)),M4*W4,"")</f>
        <v>8820</v>
      </c>
      <c r="Y4" s="10" t="n">
        <v>5</v>
      </c>
      <c r="Z4" s="12" t="s">
        <v>65</v>
      </c>
      <c r="AA4" s="12"/>
      <c r="AB4" s="12"/>
    </row>
    <row r="5" customFormat="false" ht="15" hidden="false" customHeight="true" outlineLevel="0" collapsed="false">
      <c r="A5" s="10" t="s">
        <v>80</v>
      </c>
      <c r="B5" s="10" t="s">
        <v>54</v>
      </c>
      <c r="C5" s="10" t="s">
        <v>55</v>
      </c>
      <c r="D5" s="10" t="n">
        <v>1</v>
      </c>
      <c r="E5" s="10" t="str">
        <f aca="false">INDEX(Dim_Department!$B$2:$B$5,MATCH(D5,Dim_Department!$A$2:$A$5,0))</f>
        <v>Nursing</v>
      </c>
      <c r="F5" s="10" t="s">
        <v>72</v>
      </c>
      <c r="G5" s="10" t="s">
        <v>73</v>
      </c>
      <c r="H5" s="10" t="s">
        <v>58</v>
      </c>
      <c r="I5" s="11" t="n">
        <v>45384</v>
      </c>
      <c r="J5" s="11" t="n">
        <v>45422</v>
      </c>
      <c r="K5" s="12" t="s">
        <v>81</v>
      </c>
      <c r="L5" s="10" t="n">
        <v>28</v>
      </c>
      <c r="M5" s="10" t="n">
        <v>28</v>
      </c>
      <c r="N5" s="12" t="s">
        <v>82</v>
      </c>
      <c r="O5" s="13" t="n">
        <v>0.229166666666667</v>
      </c>
      <c r="P5" s="13" t="n">
        <v>0.6875</v>
      </c>
      <c r="Q5" s="10" t="s">
        <v>76</v>
      </c>
      <c r="R5" s="12" t="s">
        <v>83</v>
      </c>
      <c r="S5" s="10" t="n">
        <v>13</v>
      </c>
      <c r="T5" s="10" t="s">
        <v>78</v>
      </c>
      <c r="U5" s="12" t="s">
        <v>84</v>
      </c>
      <c r="V5" s="10" t="n">
        <f aca="false">COUNTIF(Bridge_Trip_Site!$A$2:$A$2000,A5)</f>
        <v>1</v>
      </c>
      <c r="W5" s="14" t="n">
        <v>980</v>
      </c>
      <c r="X5" s="14" t="n">
        <f aca="false">IF(AND(ISNUMBER(M5),ISNUMBER(W5)),M5*W5,"")</f>
        <v>27440</v>
      </c>
      <c r="Y5" s="10" t="n">
        <v>6</v>
      </c>
      <c r="Z5" s="12" t="s">
        <v>65</v>
      </c>
      <c r="AA5" s="12"/>
      <c r="AB5" s="12"/>
    </row>
    <row r="6" customFormat="false" ht="23.25" hidden="false" customHeight="true" outlineLevel="0" collapsed="false">
      <c r="A6" s="10" t="s">
        <v>85</v>
      </c>
      <c r="B6" s="10" t="s">
        <v>54</v>
      </c>
      <c r="C6" s="10" t="s">
        <v>55</v>
      </c>
      <c r="D6" s="10" t="n">
        <v>1</v>
      </c>
      <c r="E6" s="10" t="str">
        <f aca="false">INDEX(Dim_Department!$B$2:$B$5,MATCH(D6,Dim_Department!$A$2:$A$5,0))</f>
        <v>Nursing</v>
      </c>
      <c r="F6" s="10" t="s">
        <v>72</v>
      </c>
      <c r="G6" s="10" t="s">
        <v>86</v>
      </c>
      <c r="H6" s="10" t="s">
        <v>58</v>
      </c>
      <c r="I6" s="11" t="n">
        <v>45384</v>
      </c>
      <c r="J6" s="11" t="n">
        <v>45422</v>
      </c>
      <c r="K6" s="12" t="s">
        <v>87</v>
      </c>
      <c r="L6" s="10" t="n">
        <v>28</v>
      </c>
      <c r="M6" s="10" t="n">
        <v>28</v>
      </c>
      <c r="N6" s="12" t="s">
        <v>82</v>
      </c>
      <c r="O6" s="13" t="n">
        <v>0.229166666666667</v>
      </c>
      <c r="P6" s="13" t="n">
        <v>0.6875</v>
      </c>
      <c r="Q6" s="10" t="s">
        <v>76</v>
      </c>
      <c r="R6" s="12" t="s">
        <v>83</v>
      </c>
      <c r="S6" s="10" t="n">
        <v>13</v>
      </c>
      <c r="T6" s="10" t="s">
        <v>78</v>
      </c>
      <c r="U6" s="12" t="s">
        <v>88</v>
      </c>
      <c r="V6" s="10" t="n">
        <f aca="false">COUNTIF(Bridge_Trip_Site!$A$2:$A$2000,A6)</f>
        <v>7</v>
      </c>
      <c r="W6" s="14" t="n">
        <v>1600</v>
      </c>
      <c r="X6" s="14" t="n">
        <f aca="false">IF(AND(ISNUMBER(M6),ISNUMBER(W6)),M6*W6,"")</f>
        <v>44800</v>
      </c>
      <c r="Y6" s="10" t="n">
        <v>7</v>
      </c>
      <c r="Z6" s="12" t="s">
        <v>65</v>
      </c>
      <c r="AA6" s="12"/>
      <c r="AB6" s="12"/>
    </row>
    <row r="7" customFormat="false" ht="23.25" hidden="false" customHeight="true" outlineLevel="0" collapsed="false">
      <c r="A7" s="10" t="s">
        <v>89</v>
      </c>
      <c r="B7" s="10" t="s">
        <v>54</v>
      </c>
      <c r="C7" s="10" t="s">
        <v>55</v>
      </c>
      <c r="D7" s="10" t="n">
        <v>1</v>
      </c>
      <c r="E7" s="10" t="str">
        <f aca="false">INDEX(Dim_Department!$B$2:$B$5,MATCH(D7,Dim_Department!$A$2:$A$5,0))</f>
        <v>Nursing</v>
      </c>
      <c r="F7" s="10" t="s">
        <v>72</v>
      </c>
      <c r="G7" s="10" t="s">
        <v>86</v>
      </c>
      <c r="H7" s="10" t="s">
        <v>58</v>
      </c>
      <c r="I7" s="11" t="n">
        <v>45384</v>
      </c>
      <c r="J7" s="11" t="n">
        <v>45408</v>
      </c>
      <c r="K7" s="12" t="s">
        <v>90</v>
      </c>
      <c r="L7" s="10" t="n">
        <v>19</v>
      </c>
      <c r="M7" s="10" t="n">
        <v>19</v>
      </c>
      <c r="N7" s="12" t="s">
        <v>91</v>
      </c>
      <c r="O7" s="13" t="n">
        <v>0.229166666666667</v>
      </c>
      <c r="P7" s="13" t="n">
        <v>0.6875</v>
      </c>
      <c r="Q7" s="10" t="s">
        <v>76</v>
      </c>
      <c r="R7" s="12" t="s">
        <v>83</v>
      </c>
      <c r="S7" s="10" t="n">
        <v>13</v>
      </c>
      <c r="T7" s="10" t="s">
        <v>78</v>
      </c>
      <c r="U7" s="12" t="s">
        <v>92</v>
      </c>
      <c r="V7" s="10" t="n">
        <f aca="false">COUNTIF(Bridge_Trip_Site!$A$2:$A$2000,A7)</f>
        <v>4</v>
      </c>
      <c r="W7" s="14" t="n">
        <v>1600</v>
      </c>
      <c r="X7" s="14" t="n">
        <f aca="false">IF(AND(ISNUMBER(M7),ISNUMBER(W7)),M7*W7,"")</f>
        <v>30400</v>
      </c>
      <c r="Y7" s="10" t="n">
        <v>8</v>
      </c>
      <c r="Z7" s="12" t="s">
        <v>65</v>
      </c>
      <c r="AA7" s="12"/>
      <c r="AB7" s="12"/>
    </row>
    <row r="8" customFormat="false" ht="23.25" hidden="false" customHeight="true" outlineLevel="0" collapsed="false">
      <c r="A8" s="10" t="s">
        <v>93</v>
      </c>
      <c r="B8" s="10" t="s">
        <v>54</v>
      </c>
      <c r="C8" s="10" t="s">
        <v>55</v>
      </c>
      <c r="D8" s="10" t="n">
        <v>1</v>
      </c>
      <c r="E8" s="10" t="str">
        <f aca="false">INDEX(Dim_Department!$B$2:$B$5,MATCH(D8,Dim_Department!$A$2:$A$5,0))</f>
        <v>Nursing</v>
      </c>
      <c r="F8" s="10" t="s">
        <v>72</v>
      </c>
      <c r="G8" s="10" t="s">
        <v>86</v>
      </c>
      <c r="H8" s="10" t="s">
        <v>58</v>
      </c>
      <c r="I8" s="11" t="n">
        <v>45384</v>
      </c>
      <c r="J8" s="11" t="n">
        <v>45422</v>
      </c>
      <c r="K8" s="12" t="s">
        <v>94</v>
      </c>
      <c r="L8" s="10" t="n">
        <v>18</v>
      </c>
      <c r="M8" s="10" t="n">
        <v>18</v>
      </c>
      <c r="N8" s="12" t="s">
        <v>95</v>
      </c>
      <c r="O8" s="13" t="n">
        <v>0.229166666666667</v>
      </c>
      <c r="P8" s="13" t="n">
        <v>0.6875</v>
      </c>
      <c r="Q8" s="10" t="s">
        <v>76</v>
      </c>
      <c r="R8" s="12" t="s">
        <v>83</v>
      </c>
      <c r="S8" s="10" t="n">
        <v>13</v>
      </c>
      <c r="T8" s="10" t="s">
        <v>78</v>
      </c>
      <c r="U8" s="12" t="s">
        <v>96</v>
      </c>
      <c r="V8" s="10" t="n">
        <f aca="false">COUNTIF(Bridge_Trip_Site!$A$2:$A$2000,A8)</f>
        <v>5</v>
      </c>
      <c r="W8" s="14" t="n">
        <v>1200</v>
      </c>
      <c r="X8" s="14" t="n">
        <f aca="false">IF(AND(ISNUMBER(M8),ISNUMBER(W8)),M8*W8,"")</f>
        <v>21600</v>
      </c>
      <c r="Y8" s="10" t="n">
        <v>9</v>
      </c>
      <c r="Z8" s="12" t="s">
        <v>65</v>
      </c>
      <c r="AA8" s="12"/>
      <c r="AB8" s="12"/>
    </row>
    <row r="9" customFormat="false" ht="23.25" hidden="false" customHeight="true" outlineLevel="0" collapsed="false">
      <c r="A9" s="10" t="s">
        <v>97</v>
      </c>
      <c r="B9" s="10" t="s">
        <v>54</v>
      </c>
      <c r="C9" s="10" t="s">
        <v>55</v>
      </c>
      <c r="D9" s="10" t="n">
        <v>1</v>
      </c>
      <c r="E9" s="10" t="str">
        <f aca="false">INDEX(Dim_Department!$B$2:$B$5,MATCH(D9,Dim_Department!$A$2:$A$5,0))</f>
        <v>Nursing</v>
      </c>
      <c r="F9" s="10" t="s">
        <v>72</v>
      </c>
      <c r="G9" s="10" t="s">
        <v>98</v>
      </c>
      <c r="H9" s="10" t="s">
        <v>58</v>
      </c>
      <c r="I9" s="11" t="n">
        <v>45384</v>
      </c>
      <c r="J9" s="11" t="n">
        <v>45422</v>
      </c>
      <c r="K9" s="12" t="s">
        <v>87</v>
      </c>
      <c r="L9" s="10" t="n">
        <v>28</v>
      </c>
      <c r="M9" s="10" t="n">
        <v>28</v>
      </c>
      <c r="N9" s="12" t="s">
        <v>82</v>
      </c>
      <c r="O9" s="13" t="n">
        <v>0.229166666666667</v>
      </c>
      <c r="P9" s="13" t="n">
        <v>0.6875</v>
      </c>
      <c r="Q9" s="10" t="s">
        <v>76</v>
      </c>
      <c r="R9" s="12" t="s">
        <v>83</v>
      </c>
      <c r="S9" s="10" t="n">
        <v>13</v>
      </c>
      <c r="T9" s="10" t="s">
        <v>78</v>
      </c>
      <c r="U9" s="12" t="s">
        <v>99</v>
      </c>
      <c r="V9" s="10" t="n">
        <f aca="false">COUNTIF(Bridge_Trip_Site!$A$2:$A$2000,A9)</f>
        <v>5</v>
      </c>
      <c r="W9" s="14" t="n">
        <v>980</v>
      </c>
      <c r="X9" s="14" t="n">
        <f aca="false">IF(AND(ISNUMBER(M9),ISNUMBER(W9)),M9*W9,"")</f>
        <v>27440</v>
      </c>
      <c r="Y9" s="10" t="n">
        <v>10</v>
      </c>
      <c r="Z9" s="12" t="s">
        <v>65</v>
      </c>
      <c r="AA9" s="12"/>
      <c r="AB9" s="12"/>
    </row>
    <row r="10" customFormat="false" ht="23.25" hidden="false" customHeight="true" outlineLevel="0" collapsed="false">
      <c r="A10" s="10" t="s">
        <v>100</v>
      </c>
      <c r="B10" s="10" t="s">
        <v>54</v>
      </c>
      <c r="C10" s="10" t="s">
        <v>55</v>
      </c>
      <c r="D10" s="10" t="n">
        <v>1</v>
      </c>
      <c r="E10" s="10" t="str">
        <f aca="false">INDEX(Dim_Department!$B$2:$B$5,MATCH(D10,Dim_Department!$A$2:$A$5,0))</f>
        <v>Nursing</v>
      </c>
      <c r="F10" s="10" t="s">
        <v>72</v>
      </c>
      <c r="G10" s="10" t="s">
        <v>98</v>
      </c>
      <c r="H10" s="10" t="s">
        <v>58</v>
      </c>
      <c r="I10" s="11" t="n">
        <v>45384</v>
      </c>
      <c r="J10" s="11" t="n">
        <v>45422</v>
      </c>
      <c r="K10" s="12" t="s">
        <v>87</v>
      </c>
      <c r="L10" s="10" t="n">
        <v>28</v>
      </c>
      <c r="M10" s="10" t="n">
        <v>28</v>
      </c>
      <c r="N10" s="12" t="s">
        <v>82</v>
      </c>
      <c r="O10" s="13" t="n">
        <v>0.229166666666667</v>
      </c>
      <c r="P10" s="13" t="n">
        <v>0.6875</v>
      </c>
      <c r="Q10" s="10" t="s">
        <v>76</v>
      </c>
      <c r="R10" s="12" t="s">
        <v>83</v>
      </c>
      <c r="S10" s="10" t="n">
        <v>13</v>
      </c>
      <c r="T10" s="10" t="s">
        <v>78</v>
      </c>
      <c r="U10" s="12" t="s">
        <v>101</v>
      </c>
      <c r="V10" s="10" t="n">
        <f aca="false">COUNTIF(Bridge_Trip_Site!$A$2:$A$2000,A10)</f>
        <v>4</v>
      </c>
      <c r="W10" s="14" t="n">
        <v>1400</v>
      </c>
      <c r="X10" s="14" t="n">
        <f aca="false">IF(AND(ISNUMBER(M10),ISNUMBER(W10)),M10*W10,"")</f>
        <v>39200</v>
      </c>
      <c r="Y10" s="10" t="n">
        <v>11</v>
      </c>
      <c r="Z10" s="12" t="s">
        <v>65</v>
      </c>
      <c r="AA10" s="12"/>
      <c r="AB10" s="12"/>
    </row>
    <row r="11" customFormat="false" ht="23.25" hidden="false" customHeight="true" outlineLevel="0" collapsed="false">
      <c r="A11" s="10" t="s">
        <v>102</v>
      </c>
      <c r="B11" s="10" t="s">
        <v>54</v>
      </c>
      <c r="C11" s="10" t="s">
        <v>55</v>
      </c>
      <c r="D11" s="10" t="n">
        <v>1</v>
      </c>
      <c r="E11" s="10" t="str">
        <f aca="false">INDEX(Dim_Department!$B$2:$B$5,MATCH(D11,Dim_Department!$A$2:$A$5,0))</f>
        <v>Nursing</v>
      </c>
      <c r="F11" s="10" t="s">
        <v>72</v>
      </c>
      <c r="G11" s="10" t="s">
        <v>98</v>
      </c>
      <c r="H11" s="10" t="s">
        <v>58</v>
      </c>
      <c r="I11" s="11" t="n">
        <v>45384</v>
      </c>
      <c r="J11" s="11" t="n">
        <v>45422</v>
      </c>
      <c r="K11" s="12" t="s">
        <v>87</v>
      </c>
      <c r="L11" s="10" t="n">
        <v>28</v>
      </c>
      <c r="M11" s="10" t="n">
        <v>9</v>
      </c>
      <c r="N11" s="12" t="s">
        <v>103</v>
      </c>
      <c r="O11" s="13" t="n">
        <v>0.229166666666667</v>
      </c>
      <c r="P11" s="13" t="n">
        <v>0.6875</v>
      </c>
      <c r="Q11" s="10" t="s">
        <v>76</v>
      </c>
      <c r="R11" s="12" t="s">
        <v>83</v>
      </c>
      <c r="S11" s="10" t="n">
        <v>13</v>
      </c>
      <c r="T11" s="10" t="s">
        <v>78</v>
      </c>
      <c r="U11" s="12" t="s">
        <v>104</v>
      </c>
      <c r="V11" s="10" t="n">
        <f aca="false">COUNTIF(Bridge_Trip_Site!$A$2:$A$2000,A11)</f>
        <v>3</v>
      </c>
      <c r="W11" s="14" t="n">
        <v>2600</v>
      </c>
      <c r="X11" s="14" t="n">
        <f aca="false">IF(AND(ISNUMBER(M11),ISNUMBER(W11)),M11*W11,"")</f>
        <v>23400</v>
      </c>
      <c r="Y11" s="10" t="n">
        <v>12</v>
      </c>
      <c r="Z11" s="12" t="s">
        <v>65</v>
      </c>
      <c r="AA11" s="12"/>
      <c r="AB11" s="12"/>
    </row>
    <row r="12" customFormat="false" ht="15" hidden="false" customHeight="true" outlineLevel="0" collapsed="false">
      <c r="A12" s="10" t="s">
        <v>105</v>
      </c>
      <c r="B12" s="10" t="s">
        <v>54</v>
      </c>
      <c r="C12" s="10" t="s">
        <v>55</v>
      </c>
      <c r="D12" s="10" t="n">
        <v>1</v>
      </c>
      <c r="E12" s="10" t="str">
        <f aca="false">INDEX(Dim_Department!$B$2:$B$5,MATCH(D12,Dim_Department!$A$2:$A$5,0))</f>
        <v>Nursing</v>
      </c>
      <c r="F12" s="10" t="s">
        <v>106</v>
      </c>
      <c r="G12" s="10" t="s">
        <v>107</v>
      </c>
      <c r="H12" s="10" t="s">
        <v>58</v>
      </c>
      <c r="I12" s="11" t="n">
        <v>45376</v>
      </c>
      <c r="J12" s="11" t="n">
        <v>45379</v>
      </c>
      <c r="K12" s="12" t="s">
        <v>108</v>
      </c>
      <c r="L12" s="10" t="n">
        <v>4</v>
      </c>
      <c r="M12" s="10" t="n">
        <v>4</v>
      </c>
      <c r="N12" s="12" t="s">
        <v>109</v>
      </c>
      <c r="O12" s="13"/>
      <c r="P12" s="13"/>
      <c r="Q12" s="10" t="s">
        <v>61</v>
      </c>
      <c r="R12" s="12" t="s">
        <v>110</v>
      </c>
      <c r="S12" s="10" t="n">
        <v>4</v>
      </c>
      <c r="T12" s="10" t="s">
        <v>111</v>
      </c>
      <c r="U12" s="12" t="s">
        <v>112</v>
      </c>
      <c r="V12" s="10" t="n">
        <f aca="false">COUNTIF(Bridge_Trip_Site!$A$2:$A$2000,A12)</f>
        <v>3</v>
      </c>
      <c r="W12" s="14" t="n">
        <v>800</v>
      </c>
      <c r="X12" s="14" t="n">
        <f aca="false">IF(AND(ISNUMBER(M12),ISNUMBER(W12)),M12*W12,"")</f>
        <v>3200</v>
      </c>
      <c r="Y12" s="10" t="n">
        <v>13</v>
      </c>
      <c r="Z12" s="12" t="s">
        <v>65</v>
      </c>
      <c r="AA12" s="12"/>
      <c r="AB12" s="12"/>
    </row>
    <row r="13" customFormat="false" ht="23.25" hidden="false" customHeight="true" outlineLevel="0" collapsed="false">
      <c r="A13" s="10" t="s">
        <v>113</v>
      </c>
      <c r="B13" s="10" t="s">
        <v>54</v>
      </c>
      <c r="C13" s="10" t="s">
        <v>55</v>
      </c>
      <c r="D13" s="10" t="n">
        <v>1</v>
      </c>
      <c r="E13" s="10" t="str">
        <f aca="false">INDEX(Dim_Department!$B$2:$B$5,MATCH(D13,Dim_Department!$A$2:$A$5,0))</f>
        <v>Nursing</v>
      </c>
      <c r="F13" s="10" t="s">
        <v>106</v>
      </c>
      <c r="G13" s="10" t="s">
        <v>107</v>
      </c>
      <c r="H13" s="10" t="s">
        <v>58</v>
      </c>
      <c r="I13" s="11" t="n">
        <v>45376</v>
      </c>
      <c r="J13" s="11" t="n">
        <v>45379</v>
      </c>
      <c r="K13" s="12" t="s">
        <v>108</v>
      </c>
      <c r="L13" s="10" t="n">
        <v>4</v>
      </c>
      <c r="M13" s="10" t="n">
        <v>4</v>
      </c>
      <c r="N13" s="12" t="s">
        <v>109</v>
      </c>
      <c r="O13" s="13"/>
      <c r="P13" s="13"/>
      <c r="Q13" s="10" t="s">
        <v>61</v>
      </c>
      <c r="R13" s="12" t="s">
        <v>110</v>
      </c>
      <c r="S13" s="10" t="n">
        <v>4</v>
      </c>
      <c r="T13" s="10" t="s">
        <v>111</v>
      </c>
      <c r="U13" s="12" t="s">
        <v>114</v>
      </c>
      <c r="V13" s="10" t="n">
        <f aca="false">COUNTIF(Bridge_Trip_Site!$A$2:$A$2000,A13)</f>
        <v>4</v>
      </c>
      <c r="W13" s="14" t="n">
        <v>800</v>
      </c>
      <c r="X13" s="14" t="n">
        <f aca="false">IF(AND(ISNUMBER(M13),ISNUMBER(W13)),M13*W13,"")</f>
        <v>3200</v>
      </c>
      <c r="Y13" s="10" t="n">
        <v>14</v>
      </c>
      <c r="Z13" s="12" t="s">
        <v>65</v>
      </c>
      <c r="AA13" s="12"/>
      <c r="AB13" s="12"/>
    </row>
    <row r="14" customFormat="false" ht="15" hidden="false" customHeight="true" outlineLevel="0" collapsed="false">
      <c r="A14" s="10" t="s">
        <v>115</v>
      </c>
      <c r="B14" s="10" t="s">
        <v>54</v>
      </c>
      <c r="C14" s="10" t="s">
        <v>55</v>
      </c>
      <c r="D14" s="10" t="n">
        <v>2</v>
      </c>
      <c r="E14" s="10" t="str">
        <f aca="false">INDEX(Dim_Department!$B$2:$B$5,MATCH(D14,Dim_Department!$A$2:$A$5,0))</f>
        <v>DEMS</v>
      </c>
      <c r="F14" s="10" t="s">
        <v>116</v>
      </c>
      <c r="G14" s="10" t="s">
        <v>117</v>
      </c>
      <c r="H14" s="10" t="s">
        <v>58</v>
      </c>
      <c r="I14" s="11" t="n">
        <v>45405</v>
      </c>
      <c r="J14" s="11" t="n">
        <v>45412</v>
      </c>
      <c r="K14" s="12" t="s">
        <v>118</v>
      </c>
      <c r="L14" s="10" t="n">
        <v>2</v>
      </c>
      <c r="M14" s="10" t="n">
        <v>2</v>
      </c>
      <c r="N14" s="12" t="s">
        <v>119</v>
      </c>
      <c r="O14" s="13"/>
      <c r="P14" s="13"/>
      <c r="Q14" s="10" t="s">
        <v>120</v>
      </c>
      <c r="R14" s="12" t="s">
        <v>121</v>
      </c>
      <c r="S14" s="10" t="n">
        <v>7</v>
      </c>
      <c r="T14" s="10" t="s">
        <v>78</v>
      </c>
      <c r="U14" s="12" t="s">
        <v>122</v>
      </c>
      <c r="V14" s="10" t="n">
        <f aca="false">COUNTIF(Bridge_Trip_Site!$A$2:$A$2000,A14)</f>
        <v>1</v>
      </c>
      <c r="W14" s="14" t="n">
        <v>850</v>
      </c>
      <c r="X14" s="14" t="n">
        <f aca="false">IF(AND(ISNUMBER(M14),ISNUMBER(W14)),M14*W14,"")</f>
        <v>1700</v>
      </c>
      <c r="Y14" s="10" t="n">
        <v>15</v>
      </c>
      <c r="Z14" s="12" t="s">
        <v>65</v>
      </c>
      <c r="AA14" s="12"/>
      <c r="AB14" s="12"/>
    </row>
    <row r="15" customFormat="false" ht="34.5" hidden="false" customHeight="true" outlineLevel="0" collapsed="false">
      <c r="A15" s="10" t="s">
        <v>123</v>
      </c>
      <c r="B15" s="10" t="s">
        <v>54</v>
      </c>
      <c r="C15" s="10" t="s">
        <v>55</v>
      </c>
      <c r="D15" s="10" t="n">
        <v>2</v>
      </c>
      <c r="E15" s="10" t="str">
        <f aca="false">INDEX(Dim_Department!$B$2:$B$5,MATCH(D15,Dim_Department!$A$2:$A$5,0))</f>
        <v>DEMS</v>
      </c>
      <c r="F15" s="10" t="s">
        <v>116</v>
      </c>
      <c r="G15" s="10" t="s">
        <v>117</v>
      </c>
      <c r="H15" s="10" t="s">
        <v>58</v>
      </c>
      <c r="I15" s="11" t="n">
        <v>45394</v>
      </c>
      <c r="J15" s="11" t="n">
        <v>45464</v>
      </c>
      <c r="K15" s="12" t="s">
        <v>124</v>
      </c>
      <c r="L15" s="10" t="n">
        <v>30</v>
      </c>
      <c r="M15" s="10" t="n">
        <v>30</v>
      </c>
      <c r="N15" s="12" t="s">
        <v>125</v>
      </c>
      <c r="O15" s="13"/>
      <c r="P15" s="13"/>
      <c r="Q15" s="10" t="s">
        <v>120</v>
      </c>
      <c r="R15" s="12" t="s">
        <v>121</v>
      </c>
      <c r="S15" s="10" t="n">
        <v>7</v>
      </c>
      <c r="T15" s="10" t="s">
        <v>78</v>
      </c>
      <c r="U15" s="12" t="s">
        <v>126</v>
      </c>
      <c r="V15" s="10" t="n">
        <f aca="false">COUNTIF(Bridge_Trip_Site!$A$2:$A$2000,A15)</f>
        <v>1</v>
      </c>
      <c r="W15" s="14" t="n">
        <v>850</v>
      </c>
      <c r="X15" s="14" t="n">
        <f aca="false">IF(AND(ISNUMBER(M15),ISNUMBER(W15)),M15*W15,"")</f>
        <v>25500</v>
      </c>
      <c r="Y15" s="10" t="n">
        <v>16</v>
      </c>
      <c r="Z15" s="12" t="s">
        <v>65</v>
      </c>
      <c r="AA15" s="12"/>
      <c r="AB15" s="12"/>
    </row>
    <row r="16" customFormat="false" ht="23.25" hidden="false" customHeight="true" outlineLevel="0" collapsed="false">
      <c r="A16" s="10" t="s">
        <v>127</v>
      </c>
      <c r="B16" s="10" t="s">
        <v>54</v>
      </c>
      <c r="C16" s="10" t="s">
        <v>55</v>
      </c>
      <c r="D16" s="10" t="n">
        <v>2</v>
      </c>
      <c r="E16" s="10" t="str">
        <f aca="false">INDEX(Dim_Department!$B$2:$B$5,MATCH(D16,Dim_Department!$A$2:$A$5,0))</f>
        <v>DEMS</v>
      </c>
      <c r="F16" s="10" t="s">
        <v>116</v>
      </c>
      <c r="G16" s="10" t="s">
        <v>117</v>
      </c>
      <c r="H16" s="10" t="s">
        <v>58</v>
      </c>
      <c r="I16" s="11" t="n">
        <v>45395</v>
      </c>
      <c r="J16" s="11" t="n">
        <v>45458</v>
      </c>
      <c r="K16" s="12" t="s">
        <v>128</v>
      </c>
      <c r="L16" s="10" t="n">
        <v>16</v>
      </c>
      <c r="M16" s="10" t="n">
        <v>16</v>
      </c>
      <c r="N16" s="12" t="s">
        <v>129</v>
      </c>
      <c r="O16" s="13"/>
      <c r="P16" s="13"/>
      <c r="Q16" s="10" t="s">
        <v>120</v>
      </c>
      <c r="R16" s="12" t="s">
        <v>121</v>
      </c>
      <c r="S16" s="10" t="n">
        <v>7</v>
      </c>
      <c r="T16" s="10" t="s">
        <v>78</v>
      </c>
      <c r="U16" s="12" t="s">
        <v>130</v>
      </c>
      <c r="V16" s="10" t="n">
        <f aca="false">COUNTIF(Bridge_Trip_Site!$A$2:$A$2000,A16)</f>
        <v>1</v>
      </c>
      <c r="W16" s="14" t="n">
        <v>850</v>
      </c>
      <c r="X16" s="14" t="n">
        <f aca="false">IF(AND(ISNUMBER(M16),ISNUMBER(W16)),M16*W16,"")</f>
        <v>13600</v>
      </c>
      <c r="Y16" s="10" t="n">
        <v>17</v>
      </c>
      <c r="Z16" s="12" t="s">
        <v>65</v>
      </c>
      <c r="AA16" s="12"/>
      <c r="AB16" s="12"/>
    </row>
    <row r="17" customFormat="false" ht="34.5" hidden="false" customHeight="true" outlineLevel="0" collapsed="false">
      <c r="A17" s="10" t="s">
        <v>131</v>
      </c>
      <c r="B17" s="10" t="s">
        <v>54</v>
      </c>
      <c r="C17" s="10" t="s">
        <v>55</v>
      </c>
      <c r="D17" s="10" t="n">
        <v>2</v>
      </c>
      <c r="E17" s="10" t="str">
        <f aca="false">INDEX(Dim_Department!$B$2:$B$5,MATCH(D17,Dim_Department!$A$2:$A$5,0))</f>
        <v>DEMS</v>
      </c>
      <c r="F17" s="10" t="s">
        <v>116</v>
      </c>
      <c r="G17" s="10" t="s">
        <v>117</v>
      </c>
      <c r="H17" s="10" t="s">
        <v>58</v>
      </c>
      <c r="I17" s="11" t="n">
        <v>45394</v>
      </c>
      <c r="J17" s="11" t="n">
        <v>45458</v>
      </c>
      <c r="K17" s="12" t="s">
        <v>132</v>
      </c>
      <c r="L17" s="10" t="n">
        <v>26</v>
      </c>
      <c r="M17" s="10" t="n">
        <v>26</v>
      </c>
      <c r="N17" s="12" t="s">
        <v>133</v>
      </c>
      <c r="O17" s="13"/>
      <c r="P17" s="13"/>
      <c r="Q17" s="10" t="s">
        <v>120</v>
      </c>
      <c r="R17" s="12" t="s">
        <v>121</v>
      </c>
      <c r="S17" s="10" t="n">
        <v>7</v>
      </c>
      <c r="T17" s="10" t="s">
        <v>78</v>
      </c>
      <c r="U17" s="12" t="s">
        <v>134</v>
      </c>
      <c r="V17" s="10" t="n">
        <f aca="false">COUNTIF(Bridge_Trip_Site!$A$2:$A$2000,A17)</f>
        <v>2</v>
      </c>
      <c r="W17" s="14" t="n">
        <v>750</v>
      </c>
      <c r="X17" s="14" t="n">
        <f aca="false">IF(AND(ISNUMBER(M17),ISNUMBER(W17)),M17*W17,"")</f>
        <v>19500</v>
      </c>
      <c r="Y17" s="10" t="n">
        <v>18</v>
      </c>
      <c r="Z17" s="12" t="s">
        <v>65</v>
      </c>
      <c r="AA17" s="12"/>
      <c r="AB17" s="12"/>
    </row>
    <row r="18" customFormat="false" ht="23.25" hidden="false" customHeight="true" outlineLevel="0" collapsed="false">
      <c r="A18" s="10" t="s">
        <v>135</v>
      </c>
      <c r="B18" s="10" t="s">
        <v>54</v>
      </c>
      <c r="C18" s="10" t="s">
        <v>55</v>
      </c>
      <c r="D18" s="10" t="n">
        <v>2</v>
      </c>
      <c r="E18" s="10" t="str">
        <f aca="false">INDEX(Dim_Department!$B$2:$B$5,MATCH(D18,Dim_Department!$A$2:$A$5,0))</f>
        <v>DEMS</v>
      </c>
      <c r="F18" s="10" t="s">
        <v>116</v>
      </c>
      <c r="G18" s="10" t="s">
        <v>136</v>
      </c>
      <c r="H18" s="10" t="s">
        <v>58</v>
      </c>
      <c r="I18" s="11" t="n">
        <v>45395</v>
      </c>
      <c r="J18" s="11" t="n">
        <v>45472</v>
      </c>
      <c r="K18" s="12" t="s">
        <v>137</v>
      </c>
      <c r="L18" s="10" t="n">
        <v>10</v>
      </c>
      <c r="M18" s="10" t="n">
        <v>10</v>
      </c>
      <c r="N18" s="12" t="s">
        <v>138</v>
      </c>
      <c r="O18" s="13"/>
      <c r="P18" s="13"/>
      <c r="Q18" s="10" t="s">
        <v>120</v>
      </c>
      <c r="R18" s="12" t="s">
        <v>121</v>
      </c>
      <c r="S18" s="10" t="n">
        <v>7</v>
      </c>
      <c r="T18" s="10" t="s">
        <v>78</v>
      </c>
      <c r="U18" s="12" t="s">
        <v>139</v>
      </c>
      <c r="V18" s="10" t="n">
        <f aca="false">COUNTIF(Bridge_Trip_Site!$A$2:$A$2000,A18)</f>
        <v>1</v>
      </c>
      <c r="W18" s="14" t="n">
        <v>850</v>
      </c>
      <c r="X18" s="14" t="n">
        <f aca="false">IF(AND(ISNUMBER(M18),ISNUMBER(W18)),M18*W18,"")</f>
        <v>8500</v>
      </c>
      <c r="Y18" s="10" t="n">
        <v>19</v>
      </c>
      <c r="Z18" s="12" t="s">
        <v>65</v>
      </c>
      <c r="AA18" s="12"/>
      <c r="AB18" s="12"/>
    </row>
    <row r="19" customFormat="false" ht="23.25" hidden="false" customHeight="true" outlineLevel="0" collapsed="false">
      <c r="A19" s="10" t="s">
        <v>140</v>
      </c>
      <c r="B19" s="10" t="s">
        <v>54</v>
      </c>
      <c r="C19" s="10" t="s">
        <v>55</v>
      </c>
      <c r="D19" s="10" t="n">
        <v>2</v>
      </c>
      <c r="E19" s="10" t="str">
        <f aca="false">INDEX(Dim_Department!$B$2:$B$5,MATCH(D19,Dim_Department!$A$2:$A$5,0))</f>
        <v>DEMS</v>
      </c>
      <c r="F19" s="10" t="s">
        <v>116</v>
      </c>
      <c r="G19" s="10" t="s">
        <v>136</v>
      </c>
      <c r="H19" s="10" t="s">
        <v>58</v>
      </c>
      <c r="I19" s="11" t="n">
        <v>45394</v>
      </c>
      <c r="J19" s="11" t="n">
        <v>45459</v>
      </c>
      <c r="K19" s="12" t="s">
        <v>141</v>
      </c>
      <c r="L19" s="10" t="n">
        <v>9</v>
      </c>
      <c r="M19" s="10" t="n">
        <v>9</v>
      </c>
      <c r="N19" s="12" t="s">
        <v>75</v>
      </c>
      <c r="O19" s="13"/>
      <c r="P19" s="13"/>
      <c r="Q19" s="10" t="s">
        <v>120</v>
      </c>
      <c r="R19" s="12" t="s">
        <v>121</v>
      </c>
      <c r="S19" s="10" t="n">
        <v>7</v>
      </c>
      <c r="T19" s="10" t="s">
        <v>78</v>
      </c>
      <c r="U19" s="12" t="s">
        <v>142</v>
      </c>
      <c r="V19" s="10" t="n">
        <f aca="false">COUNTIF(Bridge_Trip_Site!$A$2:$A$2000,A19)</f>
        <v>1</v>
      </c>
      <c r="W19" s="14" t="n">
        <v>850</v>
      </c>
      <c r="X19" s="14" t="n">
        <f aca="false">IF(AND(ISNUMBER(M19),ISNUMBER(W19)),M19*W19,"")</f>
        <v>7650</v>
      </c>
      <c r="Y19" s="10" t="n">
        <v>20</v>
      </c>
      <c r="Z19" s="12" t="s">
        <v>65</v>
      </c>
      <c r="AA19" s="12"/>
      <c r="AB19" s="12"/>
    </row>
    <row r="20" customFormat="false" ht="15" hidden="false" customHeight="true" outlineLevel="0" collapsed="false">
      <c r="A20" s="10" t="s">
        <v>143</v>
      </c>
      <c r="B20" s="10" t="s">
        <v>54</v>
      </c>
      <c r="C20" s="10" t="s">
        <v>55</v>
      </c>
      <c r="D20" s="10" t="n">
        <v>2</v>
      </c>
      <c r="E20" s="10" t="str">
        <f aca="false">INDEX(Dim_Department!$B$2:$B$5,MATCH(D20,Dim_Department!$A$2:$A$5,0))</f>
        <v>DEMS</v>
      </c>
      <c r="F20" s="10" t="s">
        <v>116</v>
      </c>
      <c r="G20" s="10" t="s">
        <v>136</v>
      </c>
      <c r="H20" s="10" t="s">
        <v>58</v>
      </c>
      <c r="I20" s="11" t="n">
        <v>45415</v>
      </c>
      <c r="J20" s="11" t="n">
        <v>45451</v>
      </c>
      <c r="K20" s="12" t="s">
        <v>144</v>
      </c>
      <c r="L20" s="10" t="n">
        <v>6</v>
      </c>
      <c r="M20" s="10" t="n">
        <v>6</v>
      </c>
      <c r="N20" s="12" t="s">
        <v>145</v>
      </c>
      <c r="O20" s="13"/>
      <c r="P20" s="13"/>
      <c r="Q20" s="10" t="s">
        <v>120</v>
      </c>
      <c r="R20" s="12" t="s">
        <v>121</v>
      </c>
      <c r="S20" s="10" t="n">
        <v>7</v>
      </c>
      <c r="T20" s="10" t="s">
        <v>78</v>
      </c>
      <c r="U20" s="12" t="s">
        <v>146</v>
      </c>
      <c r="V20" s="10" t="n">
        <f aca="false">COUNTIF(Bridge_Trip_Site!$A$2:$A$2000,A20)</f>
        <v>1</v>
      </c>
      <c r="W20" s="14" t="n">
        <v>850</v>
      </c>
      <c r="X20" s="14" t="n">
        <f aca="false">IF(AND(ISNUMBER(M20),ISNUMBER(W20)),M20*W20,"")</f>
        <v>5100</v>
      </c>
      <c r="Y20" s="10" t="n">
        <v>21</v>
      </c>
      <c r="Z20" s="12" t="s">
        <v>65</v>
      </c>
      <c r="AA20" s="12"/>
      <c r="AB20" s="12"/>
    </row>
    <row r="21" customFormat="false" ht="15" hidden="false" customHeight="true" outlineLevel="0" collapsed="false">
      <c r="A21" s="10" t="s">
        <v>147</v>
      </c>
      <c r="B21" s="10" t="s">
        <v>54</v>
      </c>
      <c r="C21" s="10" t="s">
        <v>55</v>
      </c>
      <c r="D21" s="10" t="n">
        <v>3</v>
      </c>
      <c r="E21" s="10" t="str">
        <f aca="false">INDEX(Dim_Department!$B$2:$B$5,MATCH(D21,Dim_Department!$A$2:$A$5,0))</f>
        <v>MITS</v>
      </c>
      <c r="F21" s="10" t="s">
        <v>116</v>
      </c>
      <c r="G21" s="10" t="s">
        <v>148</v>
      </c>
      <c r="H21" s="10" t="s">
        <v>58</v>
      </c>
      <c r="I21" s="11" t="n">
        <v>45417</v>
      </c>
      <c r="J21" s="11" t="n">
        <v>45460</v>
      </c>
      <c r="K21" s="12" t="s">
        <v>149</v>
      </c>
      <c r="L21" s="10" t="n">
        <v>8</v>
      </c>
      <c r="M21" s="10" t="n">
        <v>8</v>
      </c>
      <c r="N21" s="12" t="s">
        <v>150</v>
      </c>
      <c r="O21" s="13" t="n">
        <v>0.291666666666667</v>
      </c>
      <c r="P21" s="13" t="n">
        <v>0.666666666666667</v>
      </c>
      <c r="Q21" s="10" t="s">
        <v>76</v>
      </c>
      <c r="R21" s="12" t="s">
        <v>151</v>
      </c>
      <c r="S21" s="10" t="n">
        <v>7</v>
      </c>
      <c r="T21" s="10" t="s">
        <v>78</v>
      </c>
      <c r="U21" s="12" t="s">
        <v>152</v>
      </c>
      <c r="V21" s="10" t="n">
        <f aca="false">COUNTIF(Bridge_Trip_Site!$A$2:$A$2000,A21)</f>
        <v>1</v>
      </c>
      <c r="W21" s="14" t="n">
        <v>850</v>
      </c>
      <c r="X21" s="14" t="n">
        <f aca="false">IF(AND(ISNUMBER(M21),ISNUMBER(W21)),M21*W21,"")</f>
        <v>6800</v>
      </c>
      <c r="Y21" s="10" t="n">
        <v>22</v>
      </c>
      <c r="Z21" s="12" t="s">
        <v>65</v>
      </c>
      <c r="AA21" s="12"/>
      <c r="AB21" s="12"/>
    </row>
    <row r="22" customFormat="false" ht="23.25" hidden="false" customHeight="true" outlineLevel="0" collapsed="false">
      <c r="A22" s="10" t="s">
        <v>153</v>
      </c>
      <c r="B22" s="10" t="s">
        <v>54</v>
      </c>
      <c r="C22" s="10" t="s">
        <v>55</v>
      </c>
      <c r="D22" s="10" t="n">
        <v>3</v>
      </c>
      <c r="E22" s="10" t="str">
        <f aca="false">INDEX(Dim_Department!$B$2:$B$5,MATCH(D22,Dim_Department!$A$2:$A$5,0))</f>
        <v>MITS</v>
      </c>
      <c r="F22" s="10" t="s">
        <v>116</v>
      </c>
      <c r="G22" s="10" t="s">
        <v>148</v>
      </c>
      <c r="H22" s="10" t="s">
        <v>58</v>
      </c>
      <c r="I22" s="11" t="n">
        <v>45418</v>
      </c>
      <c r="J22" s="11" t="n">
        <v>45462</v>
      </c>
      <c r="K22" s="12" t="s">
        <v>154</v>
      </c>
      <c r="L22" s="10" t="n">
        <v>8</v>
      </c>
      <c r="M22" s="10" t="n">
        <v>9</v>
      </c>
      <c r="N22" s="12" t="s">
        <v>155</v>
      </c>
      <c r="O22" s="13" t="n">
        <v>0.75</v>
      </c>
      <c r="P22" s="13" t="n">
        <v>0.291666666666667</v>
      </c>
      <c r="Q22" s="10" t="s">
        <v>156</v>
      </c>
      <c r="R22" s="12" t="s">
        <v>157</v>
      </c>
      <c r="S22" s="10" t="n">
        <v>7</v>
      </c>
      <c r="T22" s="10" t="s">
        <v>78</v>
      </c>
      <c r="U22" s="12" t="s">
        <v>152</v>
      </c>
      <c r="V22" s="10" t="n">
        <f aca="false">COUNTIF(Bridge_Trip_Site!$A$2:$A$2000,A22)</f>
        <v>1</v>
      </c>
      <c r="W22" s="14" t="n">
        <v>850</v>
      </c>
      <c r="X22" s="14" t="n">
        <f aca="false">IF(AND(ISNUMBER(M22),ISNUMBER(W22)),M22*W22,"")</f>
        <v>7650</v>
      </c>
      <c r="Y22" s="10" t="n">
        <v>23</v>
      </c>
      <c r="Z22" s="12" t="s">
        <v>65</v>
      </c>
      <c r="AA22" s="12"/>
      <c r="AB22" s="12"/>
    </row>
    <row r="23" customFormat="false" ht="23.25" hidden="false" customHeight="true" outlineLevel="0" collapsed="false">
      <c r="A23" s="10" t="s">
        <v>158</v>
      </c>
      <c r="B23" s="10" t="s">
        <v>54</v>
      </c>
      <c r="C23" s="10" t="s">
        <v>55</v>
      </c>
      <c r="D23" s="10" t="n">
        <v>3</v>
      </c>
      <c r="E23" s="10" t="str">
        <f aca="false">INDEX(Dim_Department!$B$2:$B$5,MATCH(D23,Dim_Department!$A$2:$A$5,0))</f>
        <v>MITS</v>
      </c>
      <c r="F23" s="10" t="s">
        <v>116</v>
      </c>
      <c r="G23" s="10" t="s">
        <v>148</v>
      </c>
      <c r="H23" s="10" t="s">
        <v>58</v>
      </c>
      <c r="I23" s="11" t="n">
        <v>45418</v>
      </c>
      <c r="J23" s="11" t="n">
        <v>45464</v>
      </c>
      <c r="K23" s="12" t="s">
        <v>159</v>
      </c>
      <c r="L23" s="10" t="n">
        <v>18</v>
      </c>
      <c r="M23" s="10" t="n">
        <v>18</v>
      </c>
      <c r="N23" s="12" t="s">
        <v>95</v>
      </c>
      <c r="O23" s="13" t="n">
        <v>0.25</v>
      </c>
      <c r="P23" s="13" t="n">
        <v>0.666666666666667</v>
      </c>
      <c r="Q23" s="10" t="s">
        <v>76</v>
      </c>
      <c r="R23" s="12" t="s">
        <v>160</v>
      </c>
      <c r="S23" s="10" t="n">
        <v>7</v>
      </c>
      <c r="T23" s="10" t="s">
        <v>78</v>
      </c>
      <c r="U23" s="12" t="s">
        <v>161</v>
      </c>
      <c r="V23" s="10" t="n">
        <f aca="false">COUNTIF(Bridge_Trip_Site!$A$2:$A$2000,A23)</f>
        <v>3</v>
      </c>
      <c r="W23" s="14" t="n">
        <v>1200</v>
      </c>
      <c r="X23" s="14" t="n">
        <f aca="false">IF(AND(ISNUMBER(M23),ISNUMBER(W23)),M23*W23,"")</f>
        <v>21600</v>
      </c>
      <c r="Y23" s="10" t="n">
        <v>24</v>
      </c>
      <c r="Z23" s="12" t="s">
        <v>65</v>
      </c>
      <c r="AA23" s="12"/>
      <c r="AB23" s="12"/>
    </row>
    <row r="24" customFormat="false" ht="15" hidden="false" customHeight="true" outlineLevel="0" collapsed="false">
      <c r="A24" s="10" t="s">
        <v>162</v>
      </c>
      <c r="B24" s="10" t="s">
        <v>54</v>
      </c>
      <c r="C24" s="10" t="s">
        <v>55</v>
      </c>
      <c r="D24" s="10" t="n">
        <v>3</v>
      </c>
      <c r="E24" s="10" t="str">
        <f aca="false">INDEX(Dim_Department!$B$2:$B$5,MATCH(D24,Dim_Department!$A$2:$A$5,0))</f>
        <v>MITS</v>
      </c>
      <c r="F24" s="10" t="s">
        <v>116</v>
      </c>
      <c r="G24" s="10" t="s">
        <v>148</v>
      </c>
      <c r="H24" s="10" t="s">
        <v>58</v>
      </c>
      <c r="I24" s="11" t="n">
        <v>45425</v>
      </c>
      <c r="J24" s="11" t="n">
        <v>45428</v>
      </c>
      <c r="K24" s="12" t="s">
        <v>163</v>
      </c>
      <c r="L24" s="10" t="n">
        <v>3</v>
      </c>
      <c r="M24" s="10" t="n">
        <v>3</v>
      </c>
      <c r="N24" s="12" t="s">
        <v>164</v>
      </c>
      <c r="O24" s="13" t="n">
        <v>0.75</v>
      </c>
      <c r="P24" s="13" t="n">
        <v>0.291666666666667</v>
      </c>
      <c r="Q24" s="10" t="s">
        <v>156</v>
      </c>
      <c r="R24" s="12" t="s">
        <v>157</v>
      </c>
      <c r="S24" s="10" t="n">
        <v>7</v>
      </c>
      <c r="T24" s="10" t="s">
        <v>78</v>
      </c>
      <c r="U24" s="12" t="s">
        <v>165</v>
      </c>
      <c r="V24" s="10" t="n">
        <f aca="false">COUNTIF(Bridge_Trip_Site!$A$2:$A$2000,A24)</f>
        <v>1</v>
      </c>
      <c r="W24" s="14" t="n">
        <v>850</v>
      </c>
      <c r="X24" s="14" t="n">
        <f aca="false">IF(AND(ISNUMBER(M24),ISNUMBER(W24)),M24*W24,"")</f>
        <v>2550</v>
      </c>
      <c r="Y24" s="10" t="n">
        <v>25</v>
      </c>
      <c r="Z24" s="12" t="s">
        <v>65</v>
      </c>
      <c r="AA24" s="12"/>
      <c r="AB24" s="12"/>
    </row>
    <row r="25" customFormat="false" ht="23.25" hidden="false" customHeight="true" outlineLevel="0" collapsed="false">
      <c r="A25" s="10" t="s">
        <v>166</v>
      </c>
      <c r="B25" s="10" t="s">
        <v>54</v>
      </c>
      <c r="C25" s="10" t="s">
        <v>55</v>
      </c>
      <c r="D25" s="10" t="n">
        <v>3</v>
      </c>
      <c r="E25" s="10" t="str">
        <f aca="false">INDEX(Dim_Department!$B$2:$B$5,MATCH(D25,Dim_Department!$A$2:$A$5,0))</f>
        <v>MITS</v>
      </c>
      <c r="F25" s="10" t="s">
        <v>116</v>
      </c>
      <c r="G25" s="10" t="s">
        <v>148</v>
      </c>
      <c r="H25" s="10" t="s">
        <v>58</v>
      </c>
      <c r="I25" s="11" t="n">
        <v>45418</v>
      </c>
      <c r="J25" s="11" t="n">
        <v>45464</v>
      </c>
      <c r="K25" s="12" t="s">
        <v>159</v>
      </c>
      <c r="L25" s="10" t="n">
        <v>18</v>
      </c>
      <c r="M25" s="10" t="n">
        <v>18</v>
      </c>
      <c r="N25" s="12" t="s">
        <v>95</v>
      </c>
      <c r="O25" s="13" t="n">
        <v>0.270833333333333</v>
      </c>
      <c r="P25" s="13" t="n">
        <v>0.666666666666667</v>
      </c>
      <c r="Q25" s="10" t="s">
        <v>76</v>
      </c>
      <c r="R25" s="12" t="s">
        <v>167</v>
      </c>
      <c r="S25" s="10" t="n">
        <v>7</v>
      </c>
      <c r="T25" s="10" t="s">
        <v>78</v>
      </c>
      <c r="U25" s="12" t="s">
        <v>168</v>
      </c>
      <c r="V25" s="10" t="n">
        <f aca="false">COUNTIF(Bridge_Trip_Site!$A$2:$A$2000,A25)</f>
        <v>1</v>
      </c>
      <c r="W25" s="14" t="n">
        <v>1200</v>
      </c>
      <c r="X25" s="14" t="n">
        <f aca="false">IF(AND(ISNUMBER(M25),ISNUMBER(W25)),M25*W25,"")</f>
        <v>21600</v>
      </c>
      <c r="Y25" s="10" t="n">
        <v>26</v>
      </c>
      <c r="Z25" s="12" t="s">
        <v>65</v>
      </c>
      <c r="AA25" s="12"/>
      <c r="AB25" s="12"/>
    </row>
    <row r="26" customFormat="false" ht="15" hidden="false" customHeight="true" outlineLevel="0" collapsed="false">
      <c r="A26" s="10" t="s">
        <v>169</v>
      </c>
      <c r="B26" s="10" t="s">
        <v>54</v>
      </c>
      <c r="C26" s="10" t="s">
        <v>55</v>
      </c>
      <c r="D26" s="10" t="n">
        <v>3</v>
      </c>
      <c r="E26" s="10" t="str">
        <f aca="false">INDEX(Dim_Department!$B$2:$B$5,MATCH(D26,Dim_Department!$A$2:$A$5,0))</f>
        <v>MITS</v>
      </c>
      <c r="F26" s="10" t="s">
        <v>116</v>
      </c>
      <c r="G26" s="10" t="s">
        <v>148</v>
      </c>
      <c r="H26" s="10" t="s">
        <v>58</v>
      </c>
      <c r="I26" s="11" t="n">
        <v>45432</v>
      </c>
      <c r="J26" s="11" t="n">
        <v>45464</v>
      </c>
      <c r="K26" s="12" t="s">
        <v>170</v>
      </c>
      <c r="L26" s="10" t="n">
        <v>8</v>
      </c>
      <c r="M26" s="10" t="n">
        <v>8</v>
      </c>
      <c r="N26" s="12" t="s">
        <v>150</v>
      </c>
      <c r="O26" s="13" t="n">
        <v>0.270833333333333</v>
      </c>
      <c r="P26" s="13" t="n">
        <v>0.666666666666667</v>
      </c>
      <c r="Q26" s="10" t="s">
        <v>76</v>
      </c>
      <c r="R26" s="12" t="s">
        <v>167</v>
      </c>
      <c r="S26" s="10" t="n">
        <v>7</v>
      </c>
      <c r="T26" s="10" t="s">
        <v>78</v>
      </c>
      <c r="U26" s="12" t="s">
        <v>171</v>
      </c>
      <c r="V26" s="10" t="n">
        <f aca="false">COUNTIF(Bridge_Trip_Site!$A$2:$A$2000,A26)</f>
        <v>1</v>
      </c>
      <c r="W26" s="14" t="n">
        <v>1200</v>
      </c>
      <c r="X26" s="14" t="n">
        <f aca="false">IF(AND(ISNUMBER(M26),ISNUMBER(W26)),M26*W26,"")</f>
        <v>9600</v>
      </c>
      <c r="Y26" s="10" t="n">
        <v>27</v>
      </c>
      <c r="Z26" s="12" t="s">
        <v>65</v>
      </c>
      <c r="AA26" s="12"/>
      <c r="AB26" s="12"/>
    </row>
    <row r="27" customFormat="false" ht="23.25" hidden="false" customHeight="true" outlineLevel="0" collapsed="false">
      <c r="A27" s="10" t="s">
        <v>172</v>
      </c>
      <c r="B27" s="10" t="s">
        <v>54</v>
      </c>
      <c r="C27" s="10" t="s">
        <v>55</v>
      </c>
      <c r="D27" s="10" t="n">
        <v>3</v>
      </c>
      <c r="E27" s="10" t="str">
        <f aca="false">INDEX(Dim_Department!$B$2:$B$5,MATCH(D27,Dim_Department!$A$2:$A$5,0))</f>
        <v>MITS</v>
      </c>
      <c r="F27" s="10" t="s">
        <v>116</v>
      </c>
      <c r="G27" s="10" t="s">
        <v>148</v>
      </c>
      <c r="H27" s="10" t="s">
        <v>58</v>
      </c>
      <c r="I27" s="11" t="n">
        <v>45418</v>
      </c>
      <c r="J27" s="11" t="n">
        <v>45464</v>
      </c>
      <c r="K27" s="12" t="s">
        <v>173</v>
      </c>
      <c r="L27" s="10" t="n">
        <v>18</v>
      </c>
      <c r="M27" s="10" t="n">
        <v>18</v>
      </c>
      <c r="N27" s="12" t="s">
        <v>95</v>
      </c>
      <c r="O27" s="13" t="n">
        <v>0.25</v>
      </c>
      <c r="P27" s="13" t="n">
        <v>0.666666666666667</v>
      </c>
      <c r="Q27" s="10" t="s">
        <v>76</v>
      </c>
      <c r="R27" s="12" t="s">
        <v>174</v>
      </c>
      <c r="S27" s="10" t="n">
        <v>7</v>
      </c>
      <c r="T27" s="10" t="s">
        <v>78</v>
      </c>
      <c r="U27" s="12" t="s">
        <v>175</v>
      </c>
      <c r="V27" s="10" t="n">
        <f aca="false">COUNTIF(Bridge_Trip_Site!$A$2:$A$2000,A27)</f>
        <v>1</v>
      </c>
      <c r="W27" s="14" t="n">
        <v>780</v>
      </c>
      <c r="X27" s="14" t="n">
        <f aca="false">IF(AND(ISNUMBER(M27),ISNUMBER(W27)),M27*W27,"")</f>
        <v>14040</v>
      </c>
      <c r="Y27" s="10" t="n">
        <v>28</v>
      </c>
      <c r="Z27" s="12" t="s">
        <v>65</v>
      </c>
      <c r="AA27" s="12"/>
      <c r="AB27" s="12"/>
    </row>
    <row r="28" customFormat="false" ht="23.25" hidden="false" customHeight="true" outlineLevel="0" collapsed="false">
      <c r="A28" s="10" t="s">
        <v>176</v>
      </c>
      <c r="B28" s="10" t="s">
        <v>54</v>
      </c>
      <c r="C28" s="10" t="s">
        <v>55</v>
      </c>
      <c r="D28" s="10" t="n">
        <v>3</v>
      </c>
      <c r="E28" s="10" t="str">
        <f aca="false">INDEX(Dim_Department!$B$2:$B$5,MATCH(D28,Dim_Department!$A$2:$A$5,0))</f>
        <v>MITS</v>
      </c>
      <c r="F28" s="10" t="s">
        <v>116</v>
      </c>
      <c r="G28" s="10" t="s">
        <v>148</v>
      </c>
      <c r="H28" s="10" t="s">
        <v>58</v>
      </c>
      <c r="I28" s="11" t="n">
        <v>45418</v>
      </c>
      <c r="J28" s="11" t="n">
        <v>45455</v>
      </c>
      <c r="K28" s="12" t="s">
        <v>177</v>
      </c>
      <c r="L28" s="10" t="n">
        <v>9</v>
      </c>
      <c r="M28" s="10" t="n">
        <v>9</v>
      </c>
      <c r="N28" s="12" t="s">
        <v>75</v>
      </c>
      <c r="O28" s="13" t="n">
        <v>0.75</v>
      </c>
      <c r="P28" s="13" t="n">
        <v>0.291666666666667</v>
      </c>
      <c r="Q28" s="10" t="s">
        <v>156</v>
      </c>
      <c r="R28" s="12" t="s">
        <v>157</v>
      </c>
      <c r="S28" s="10" t="n">
        <v>7</v>
      </c>
      <c r="T28" s="10" t="s">
        <v>78</v>
      </c>
      <c r="U28" s="12" t="s">
        <v>178</v>
      </c>
      <c r="V28" s="10" t="n">
        <f aca="false">COUNTIF(Bridge_Trip_Site!$A$2:$A$2000,A28)</f>
        <v>1</v>
      </c>
      <c r="W28" s="14" t="n">
        <v>780</v>
      </c>
      <c r="X28" s="14" t="n">
        <f aca="false">IF(AND(ISNUMBER(M28),ISNUMBER(W28)),M28*W28,"")</f>
        <v>7020</v>
      </c>
      <c r="Y28" s="10" t="n">
        <v>29</v>
      </c>
      <c r="Z28" s="12" t="s">
        <v>65</v>
      </c>
      <c r="AA28" s="12"/>
      <c r="AB28" s="12"/>
    </row>
    <row r="29" customFormat="false" ht="15" hidden="false" customHeight="true" outlineLevel="0" collapsed="false">
      <c r="A29" s="10" t="s">
        <v>179</v>
      </c>
      <c r="B29" s="10" t="s">
        <v>54</v>
      </c>
      <c r="C29" s="10" t="s">
        <v>55</v>
      </c>
      <c r="D29" s="10" t="n">
        <v>3</v>
      </c>
      <c r="E29" s="10" t="str">
        <f aca="false">INDEX(Dim_Department!$B$2:$B$5,MATCH(D29,Dim_Department!$A$2:$A$5,0))</f>
        <v>MITS</v>
      </c>
      <c r="F29" s="10" t="s">
        <v>116</v>
      </c>
      <c r="G29" s="10" t="s">
        <v>148</v>
      </c>
      <c r="H29" s="10" t="s">
        <v>58</v>
      </c>
      <c r="I29" s="11" t="n">
        <v>45423</v>
      </c>
      <c r="J29" s="11" t="n">
        <v>45460</v>
      </c>
      <c r="K29" s="12" t="s">
        <v>180</v>
      </c>
      <c r="L29" s="10" t="n">
        <v>5</v>
      </c>
      <c r="M29" s="10" t="n">
        <v>5</v>
      </c>
      <c r="N29" s="12" t="s">
        <v>181</v>
      </c>
      <c r="O29" s="13" t="n">
        <v>0.291666666666667</v>
      </c>
      <c r="P29" s="13" t="n">
        <v>0.666666666666667</v>
      </c>
      <c r="Q29" s="10" t="s">
        <v>76</v>
      </c>
      <c r="R29" s="12" t="s">
        <v>151</v>
      </c>
      <c r="S29" s="10" t="n">
        <v>7</v>
      </c>
      <c r="T29" s="10" t="s">
        <v>78</v>
      </c>
      <c r="U29" s="12" t="s">
        <v>182</v>
      </c>
      <c r="V29" s="10" t="n">
        <f aca="false">COUNTIF(Bridge_Trip_Site!$A$2:$A$2000,A29)</f>
        <v>1</v>
      </c>
      <c r="W29" s="14" t="n">
        <v>780</v>
      </c>
      <c r="X29" s="14" t="n">
        <f aca="false">IF(AND(ISNUMBER(M29),ISNUMBER(W29)),M29*W29,"")</f>
        <v>3900</v>
      </c>
      <c r="Y29" s="10" t="n">
        <v>30</v>
      </c>
      <c r="Z29" s="12" t="s">
        <v>65</v>
      </c>
      <c r="AA29" s="12"/>
      <c r="AB29" s="12"/>
    </row>
    <row r="30" customFormat="false" ht="15" hidden="false" customHeight="true" outlineLevel="0" collapsed="false">
      <c r="A30" s="10" t="s">
        <v>183</v>
      </c>
      <c r="B30" s="10" t="s">
        <v>54</v>
      </c>
      <c r="C30" s="10" t="s">
        <v>55</v>
      </c>
      <c r="D30" s="10" t="n">
        <v>3</v>
      </c>
      <c r="E30" s="10" t="str">
        <f aca="false">INDEX(Dim_Department!$B$2:$B$5,MATCH(D30,Dim_Department!$A$2:$A$5,0))</f>
        <v>MITS</v>
      </c>
      <c r="F30" s="10" t="s">
        <v>116</v>
      </c>
      <c r="G30" s="10" t="s">
        <v>148</v>
      </c>
      <c r="H30" s="10" t="s">
        <v>58</v>
      </c>
      <c r="I30" s="11" t="n">
        <v>45425</v>
      </c>
      <c r="J30" s="11" t="n">
        <v>45429</v>
      </c>
      <c r="K30" s="12" t="s">
        <v>184</v>
      </c>
      <c r="L30" s="10" t="n">
        <v>5</v>
      </c>
      <c r="M30" s="10" t="n">
        <v>5</v>
      </c>
      <c r="N30" s="12" t="s">
        <v>181</v>
      </c>
      <c r="O30" s="13" t="n">
        <v>0.25</v>
      </c>
      <c r="P30" s="13" t="n">
        <v>0.666666666666667</v>
      </c>
      <c r="Q30" s="10" t="s">
        <v>76</v>
      </c>
      <c r="R30" s="12" t="s">
        <v>174</v>
      </c>
      <c r="S30" s="10" t="n">
        <v>7</v>
      </c>
      <c r="T30" s="10" t="s">
        <v>78</v>
      </c>
      <c r="U30" s="12" t="s">
        <v>185</v>
      </c>
      <c r="V30" s="10" t="n">
        <f aca="false">COUNTIF(Bridge_Trip_Site!$A$2:$A$2000,A30)</f>
        <v>2</v>
      </c>
      <c r="W30" s="14" t="n">
        <v>980</v>
      </c>
      <c r="X30" s="14" t="n">
        <f aca="false">IF(AND(ISNUMBER(M30),ISNUMBER(W30)),M30*W30,"")</f>
        <v>4900</v>
      </c>
      <c r="Y30" s="10" t="n">
        <v>31</v>
      </c>
      <c r="Z30" s="12" t="s">
        <v>65</v>
      </c>
      <c r="AA30" s="12"/>
      <c r="AB30" s="12"/>
    </row>
    <row r="31" customFormat="false" ht="23.25" hidden="false" customHeight="true" outlineLevel="0" collapsed="false">
      <c r="A31" s="10" t="s">
        <v>186</v>
      </c>
      <c r="B31" s="10" t="s">
        <v>54</v>
      </c>
      <c r="C31" s="10" t="s">
        <v>55</v>
      </c>
      <c r="D31" s="10" t="n">
        <v>3</v>
      </c>
      <c r="E31" s="10" t="str">
        <f aca="false">INDEX(Dim_Department!$B$2:$B$5,MATCH(D31,Dim_Department!$A$2:$A$5,0))</f>
        <v>MITS</v>
      </c>
      <c r="F31" s="10" t="s">
        <v>116</v>
      </c>
      <c r="G31" s="10" t="s">
        <v>148</v>
      </c>
      <c r="H31" s="10" t="s">
        <v>58</v>
      </c>
      <c r="I31" s="11" t="n">
        <v>45425</v>
      </c>
      <c r="J31" s="11" t="n">
        <v>45464</v>
      </c>
      <c r="K31" s="12" t="s">
        <v>187</v>
      </c>
      <c r="L31" s="10" t="n">
        <v>9</v>
      </c>
      <c r="M31" s="10" t="n">
        <v>9</v>
      </c>
      <c r="N31" s="12" t="s">
        <v>75</v>
      </c>
      <c r="O31" s="13" t="n">
        <v>0.270833333333333</v>
      </c>
      <c r="P31" s="13" t="n">
        <v>0.666666666666667</v>
      </c>
      <c r="Q31" s="10" t="s">
        <v>76</v>
      </c>
      <c r="R31" s="12" t="s">
        <v>167</v>
      </c>
      <c r="S31" s="10" t="n">
        <v>7</v>
      </c>
      <c r="T31" s="10" t="s">
        <v>78</v>
      </c>
      <c r="U31" s="12" t="s">
        <v>178</v>
      </c>
      <c r="V31" s="10" t="n">
        <f aca="false">COUNTIF(Bridge_Trip_Site!$A$2:$A$2000,A31)</f>
        <v>1</v>
      </c>
      <c r="W31" s="14" t="n">
        <v>980</v>
      </c>
      <c r="X31" s="14" t="n">
        <f aca="false">IF(AND(ISNUMBER(M31),ISNUMBER(W31)),M31*W31,"")</f>
        <v>8820</v>
      </c>
      <c r="Y31" s="10" t="n">
        <v>32</v>
      </c>
      <c r="Z31" s="12" t="s">
        <v>65</v>
      </c>
      <c r="AA31" s="12"/>
      <c r="AB31" s="12"/>
    </row>
    <row r="32" customFormat="false" ht="23.25" hidden="false" customHeight="true" outlineLevel="0" collapsed="false">
      <c r="A32" s="10" t="s">
        <v>188</v>
      </c>
      <c r="B32" s="10" t="s">
        <v>54</v>
      </c>
      <c r="C32" s="10" t="s">
        <v>55</v>
      </c>
      <c r="D32" s="10" t="n">
        <v>1</v>
      </c>
      <c r="E32" s="10" t="str">
        <f aca="false">INDEX(Dim_Department!$B$2:$B$5,MATCH(D32,Dim_Department!$A$2:$A$5,0))</f>
        <v>Nursing</v>
      </c>
      <c r="F32" s="10" t="s">
        <v>72</v>
      </c>
      <c r="G32" s="10" t="s">
        <v>189</v>
      </c>
      <c r="H32" s="10" t="s">
        <v>58</v>
      </c>
      <c r="I32" s="11" t="n">
        <v>45453</v>
      </c>
      <c r="J32" s="11" t="n">
        <v>45471</v>
      </c>
      <c r="K32" s="12" t="s">
        <v>190</v>
      </c>
      <c r="L32" s="10" t="n">
        <v>14</v>
      </c>
      <c r="M32" s="10" t="n">
        <v>14</v>
      </c>
      <c r="N32" s="12" t="s">
        <v>191</v>
      </c>
      <c r="O32" s="13" t="n">
        <v>0.229166666666667</v>
      </c>
      <c r="P32" s="13" t="n">
        <v>0.6875</v>
      </c>
      <c r="Q32" s="10" t="s">
        <v>76</v>
      </c>
      <c r="R32" s="12" t="s">
        <v>83</v>
      </c>
      <c r="S32" s="10" t="n">
        <v>13</v>
      </c>
      <c r="T32" s="10" t="s">
        <v>78</v>
      </c>
      <c r="U32" s="12" t="s">
        <v>192</v>
      </c>
      <c r="V32" s="10" t="n">
        <f aca="false">COUNTIF(Bridge_Trip_Site!$A$2:$A$2000,A32)</f>
        <v>3</v>
      </c>
      <c r="W32" s="14" t="n">
        <v>1400</v>
      </c>
      <c r="X32" s="14" t="n">
        <f aca="false">IF(AND(ISNUMBER(M32),ISNUMBER(W32)),M32*W32,"")</f>
        <v>19600</v>
      </c>
      <c r="Y32" s="10" t="n">
        <v>33</v>
      </c>
      <c r="Z32" s="12" t="s">
        <v>65</v>
      </c>
      <c r="AA32" s="12"/>
      <c r="AB32" s="12"/>
    </row>
    <row r="33" customFormat="false" ht="23.25" hidden="false" customHeight="true" outlineLevel="0" collapsed="false">
      <c r="A33" s="10" t="s">
        <v>193</v>
      </c>
      <c r="B33" s="10" t="s">
        <v>54</v>
      </c>
      <c r="C33" s="10" t="s">
        <v>55</v>
      </c>
      <c r="D33" s="10" t="n">
        <v>1</v>
      </c>
      <c r="E33" s="10" t="str">
        <f aca="false">INDEX(Dim_Department!$B$2:$B$5,MATCH(D33,Dim_Department!$A$2:$A$5,0))</f>
        <v>Nursing</v>
      </c>
      <c r="F33" s="10" t="s">
        <v>72</v>
      </c>
      <c r="G33" s="10" t="s">
        <v>189</v>
      </c>
      <c r="H33" s="10" t="s">
        <v>58</v>
      </c>
      <c r="I33" s="11" t="n">
        <v>45453</v>
      </c>
      <c r="J33" s="11" t="n">
        <v>45471</v>
      </c>
      <c r="K33" s="12" t="s">
        <v>190</v>
      </c>
      <c r="L33" s="10" t="n">
        <v>14</v>
      </c>
      <c r="M33" s="10" t="n">
        <v>14</v>
      </c>
      <c r="N33" s="12" t="s">
        <v>191</v>
      </c>
      <c r="O33" s="13" t="n">
        <v>0.229166666666667</v>
      </c>
      <c r="P33" s="13" t="n">
        <v>0.6875</v>
      </c>
      <c r="Q33" s="10" t="s">
        <v>76</v>
      </c>
      <c r="R33" s="12" t="s">
        <v>83</v>
      </c>
      <c r="S33" s="10" t="n">
        <v>13</v>
      </c>
      <c r="T33" s="10" t="s">
        <v>78</v>
      </c>
      <c r="U33" s="12" t="s">
        <v>194</v>
      </c>
      <c r="V33" s="10" t="n">
        <f aca="false">COUNTIF(Bridge_Trip_Site!$A$2:$A$2000,A33)</f>
        <v>3</v>
      </c>
      <c r="W33" s="14" t="n">
        <v>1400</v>
      </c>
      <c r="X33" s="14" t="n">
        <f aca="false">IF(AND(ISNUMBER(M33),ISNUMBER(W33)),M33*W33,"")</f>
        <v>19600</v>
      </c>
      <c r="Y33" s="10" t="n">
        <v>34</v>
      </c>
      <c r="Z33" s="12" t="s">
        <v>65</v>
      </c>
      <c r="AA33" s="12"/>
      <c r="AB33" s="12"/>
    </row>
    <row r="34" customFormat="false" ht="23.25" hidden="false" customHeight="true" outlineLevel="0" collapsed="false">
      <c r="A34" s="10" t="s">
        <v>195</v>
      </c>
      <c r="B34" s="10" t="s">
        <v>54</v>
      </c>
      <c r="C34" s="10" t="s">
        <v>55</v>
      </c>
      <c r="D34" s="10" t="n">
        <v>1</v>
      </c>
      <c r="E34" s="10" t="str">
        <f aca="false">INDEX(Dim_Department!$B$2:$B$5,MATCH(D34,Dim_Department!$A$2:$A$5,0))</f>
        <v>Nursing</v>
      </c>
      <c r="F34" s="10" t="s">
        <v>72</v>
      </c>
      <c r="G34" s="10" t="s">
        <v>189</v>
      </c>
      <c r="H34" s="10" t="s">
        <v>58</v>
      </c>
      <c r="I34" s="11" t="n">
        <v>45453</v>
      </c>
      <c r="J34" s="11" t="n">
        <v>45471</v>
      </c>
      <c r="K34" s="12" t="s">
        <v>190</v>
      </c>
      <c r="L34" s="10" t="n">
        <v>14</v>
      </c>
      <c r="M34" s="10" t="n">
        <v>14</v>
      </c>
      <c r="N34" s="12" t="s">
        <v>191</v>
      </c>
      <c r="O34" s="13" t="n">
        <v>0.229166666666667</v>
      </c>
      <c r="P34" s="13" t="n">
        <v>0.6875</v>
      </c>
      <c r="Q34" s="10" t="s">
        <v>76</v>
      </c>
      <c r="R34" s="12" t="s">
        <v>83</v>
      </c>
      <c r="S34" s="10" t="n">
        <v>13</v>
      </c>
      <c r="T34" s="10" t="s">
        <v>78</v>
      </c>
      <c r="U34" s="12" t="s">
        <v>196</v>
      </c>
      <c r="V34" s="10" t="n">
        <f aca="false">COUNTIF(Bridge_Trip_Site!$A$2:$A$2000,A34)</f>
        <v>4</v>
      </c>
      <c r="W34" s="14" t="n">
        <v>1600</v>
      </c>
      <c r="X34" s="14" t="n">
        <f aca="false">IF(AND(ISNUMBER(M34),ISNUMBER(W34)),M34*W34,"")</f>
        <v>22400</v>
      </c>
      <c r="Y34" s="10" t="n">
        <v>35</v>
      </c>
      <c r="Z34" s="12" t="s">
        <v>65</v>
      </c>
      <c r="AA34" s="12"/>
      <c r="AB34" s="12"/>
    </row>
    <row r="35" customFormat="false" ht="23.25" hidden="false" customHeight="true" outlineLevel="0" collapsed="false">
      <c r="A35" s="10" t="s">
        <v>197</v>
      </c>
      <c r="B35" s="10" t="s">
        <v>54</v>
      </c>
      <c r="C35" s="10" t="s">
        <v>55</v>
      </c>
      <c r="D35" s="10" t="n">
        <v>1</v>
      </c>
      <c r="E35" s="10" t="str">
        <f aca="false">INDEX(Dim_Department!$B$2:$B$5,MATCH(D35,Dim_Department!$A$2:$A$5,0))</f>
        <v>Nursing</v>
      </c>
      <c r="F35" s="10" t="s">
        <v>72</v>
      </c>
      <c r="G35" s="10" t="s">
        <v>198</v>
      </c>
      <c r="H35" s="10" t="s">
        <v>58</v>
      </c>
      <c r="I35" s="11" t="n">
        <v>45447</v>
      </c>
      <c r="J35" s="11" t="n">
        <v>45471</v>
      </c>
      <c r="K35" s="12" t="s">
        <v>199</v>
      </c>
      <c r="L35" s="10" t="n">
        <v>18</v>
      </c>
      <c r="M35" s="10" t="n">
        <v>16</v>
      </c>
      <c r="N35" s="12" t="s">
        <v>200</v>
      </c>
      <c r="O35" s="13" t="n">
        <v>0.229166666666667</v>
      </c>
      <c r="P35" s="13" t="n">
        <v>0.8125</v>
      </c>
      <c r="Q35" s="10" t="s">
        <v>76</v>
      </c>
      <c r="R35" s="12" t="s">
        <v>77</v>
      </c>
      <c r="S35" s="10" t="n">
        <v>13</v>
      </c>
      <c r="T35" s="10" t="s">
        <v>78</v>
      </c>
      <c r="U35" s="12" t="s">
        <v>201</v>
      </c>
      <c r="V35" s="10" t="n">
        <f aca="false">COUNTIF(Bridge_Trip_Site!$A$2:$A$2000,A35)</f>
        <v>1</v>
      </c>
      <c r="W35" s="14" t="n">
        <v>980</v>
      </c>
      <c r="X35" s="14" t="n">
        <f aca="false">IF(AND(ISNUMBER(M35),ISNUMBER(W35)),M35*W35,"")</f>
        <v>15680</v>
      </c>
      <c r="Y35" s="10" t="n">
        <v>36</v>
      </c>
      <c r="Z35" s="12" t="s">
        <v>65</v>
      </c>
      <c r="AA35" s="12"/>
      <c r="AB35" s="12"/>
    </row>
    <row r="36" customFormat="false" ht="23.25" hidden="false" customHeight="true" outlineLevel="0" collapsed="false">
      <c r="A36" s="10" t="s">
        <v>202</v>
      </c>
      <c r="B36" s="10" t="s">
        <v>54</v>
      </c>
      <c r="C36" s="10" t="s">
        <v>55</v>
      </c>
      <c r="D36" s="10" t="n">
        <v>1</v>
      </c>
      <c r="E36" s="10" t="str">
        <f aca="false">INDEX(Dim_Department!$B$2:$B$5,MATCH(D36,Dim_Department!$A$2:$A$5,0))</f>
        <v>Nursing</v>
      </c>
      <c r="F36" s="10" t="s">
        <v>72</v>
      </c>
      <c r="G36" s="10" t="s">
        <v>198</v>
      </c>
      <c r="H36" s="10" t="s">
        <v>58</v>
      </c>
      <c r="I36" s="11" t="n">
        <v>45447</v>
      </c>
      <c r="J36" s="11" t="n">
        <v>45471</v>
      </c>
      <c r="K36" s="12" t="s">
        <v>199</v>
      </c>
      <c r="L36" s="10" t="n">
        <v>18</v>
      </c>
      <c r="M36" s="10" t="n">
        <v>16</v>
      </c>
      <c r="N36" s="12" t="s">
        <v>200</v>
      </c>
      <c r="O36" s="13" t="n">
        <v>0.229166666666667</v>
      </c>
      <c r="P36" s="13" t="n">
        <v>0.8125</v>
      </c>
      <c r="Q36" s="10" t="s">
        <v>76</v>
      </c>
      <c r="R36" s="12" t="s">
        <v>77</v>
      </c>
      <c r="S36" s="10" t="n">
        <v>13</v>
      </c>
      <c r="T36" s="10" t="s">
        <v>78</v>
      </c>
      <c r="U36" s="12" t="s">
        <v>201</v>
      </c>
      <c r="V36" s="10" t="n">
        <f aca="false">COUNTIF(Bridge_Trip_Site!$A$2:$A$2000,A36)</f>
        <v>1</v>
      </c>
      <c r="W36" s="14" t="n">
        <v>980</v>
      </c>
      <c r="X36" s="14" t="n">
        <f aca="false">IF(AND(ISNUMBER(M36),ISNUMBER(W36)),M36*W36,"")</f>
        <v>15680</v>
      </c>
      <c r="Y36" s="10" t="n">
        <v>37</v>
      </c>
      <c r="Z36" s="12" t="s">
        <v>65</v>
      </c>
      <c r="AA36" s="12"/>
      <c r="AB36" s="12"/>
    </row>
    <row r="37" customFormat="false" ht="23.25" hidden="false" customHeight="true" outlineLevel="0" collapsed="false">
      <c r="A37" s="10" t="s">
        <v>203</v>
      </c>
      <c r="B37" s="10" t="s">
        <v>54</v>
      </c>
      <c r="C37" s="10" t="s">
        <v>55</v>
      </c>
      <c r="D37" s="10" t="n">
        <v>1</v>
      </c>
      <c r="E37" s="10" t="str">
        <f aca="false">INDEX(Dim_Department!$B$2:$B$5,MATCH(D37,Dim_Department!$A$2:$A$5,0))</f>
        <v>Nursing</v>
      </c>
      <c r="F37" s="10" t="s">
        <v>72</v>
      </c>
      <c r="G37" s="10" t="s">
        <v>198</v>
      </c>
      <c r="H37" s="10" t="s">
        <v>58</v>
      </c>
      <c r="I37" s="11" t="n">
        <v>45447</v>
      </c>
      <c r="J37" s="11" t="n">
        <v>45471</v>
      </c>
      <c r="K37" s="12" t="s">
        <v>199</v>
      </c>
      <c r="L37" s="10" t="n">
        <v>18</v>
      </c>
      <c r="M37" s="10" t="n">
        <v>16</v>
      </c>
      <c r="N37" s="12" t="s">
        <v>200</v>
      </c>
      <c r="O37" s="13" t="n">
        <v>0.229166666666667</v>
      </c>
      <c r="P37" s="13" t="n">
        <v>0.8125</v>
      </c>
      <c r="Q37" s="10" t="s">
        <v>76</v>
      </c>
      <c r="R37" s="12" t="s">
        <v>77</v>
      </c>
      <c r="S37" s="10" t="n">
        <v>13</v>
      </c>
      <c r="T37" s="10" t="s">
        <v>78</v>
      </c>
      <c r="U37" s="12" t="s">
        <v>178</v>
      </c>
      <c r="V37" s="10" t="n">
        <f aca="false">COUNTIF(Bridge_Trip_Site!$A$2:$A$2000,A37)</f>
        <v>1</v>
      </c>
      <c r="W37" s="14" t="n">
        <v>850</v>
      </c>
      <c r="X37" s="14" t="n">
        <f aca="false">IF(AND(ISNUMBER(M37),ISNUMBER(W37)),M37*W37,"")</f>
        <v>13600</v>
      </c>
      <c r="Y37" s="10" t="n">
        <v>38</v>
      </c>
      <c r="Z37" s="12" t="s">
        <v>65</v>
      </c>
      <c r="AA37" s="12"/>
      <c r="AB37" s="12"/>
    </row>
    <row r="38" customFormat="false" ht="23.25" hidden="false" customHeight="true" outlineLevel="0" collapsed="false">
      <c r="A38" s="10" t="s">
        <v>204</v>
      </c>
      <c r="B38" s="10" t="s">
        <v>54</v>
      </c>
      <c r="C38" s="10" t="s">
        <v>55</v>
      </c>
      <c r="D38" s="10" t="n">
        <v>1</v>
      </c>
      <c r="E38" s="10" t="str">
        <f aca="false">INDEX(Dim_Department!$B$2:$B$5,MATCH(D38,Dim_Department!$A$2:$A$5,0))</f>
        <v>Nursing</v>
      </c>
      <c r="F38" s="10" t="s">
        <v>72</v>
      </c>
      <c r="G38" s="10" t="s">
        <v>198</v>
      </c>
      <c r="H38" s="10" t="s">
        <v>58</v>
      </c>
      <c r="I38" s="11" t="n">
        <v>45446</v>
      </c>
      <c r="J38" s="11" t="n">
        <v>45471</v>
      </c>
      <c r="K38" s="12" t="s">
        <v>205</v>
      </c>
      <c r="L38" s="10" t="n">
        <v>19</v>
      </c>
      <c r="M38" s="10" t="n">
        <v>17</v>
      </c>
      <c r="N38" s="12" t="s">
        <v>206</v>
      </c>
      <c r="O38" s="13" t="n">
        <v>0.229166666666667</v>
      </c>
      <c r="P38" s="13" t="n">
        <v>0.8125</v>
      </c>
      <c r="Q38" s="10" t="s">
        <v>76</v>
      </c>
      <c r="R38" s="12" t="s">
        <v>77</v>
      </c>
      <c r="S38" s="10" t="n">
        <v>13</v>
      </c>
      <c r="T38" s="10" t="s">
        <v>78</v>
      </c>
      <c r="U38" s="12" t="s">
        <v>207</v>
      </c>
      <c r="V38" s="10" t="n">
        <f aca="false">COUNTIF(Bridge_Trip_Site!$A$2:$A$2000,A38)</f>
        <v>2</v>
      </c>
      <c r="W38" s="14" t="n">
        <v>1200</v>
      </c>
      <c r="X38" s="14" t="n">
        <f aca="false">IF(AND(ISNUMBER(M38),ISNUMBER(W38)),M38*W38,"")</f>
        <v>20400</v>
      </c>
      <c r="Y38" s="10" t="n">
        <v>39</v>
      </c>
      <c r="Z38" s="12" t="s">
        <v>65</v>
      </c>
      <c r="AA38" s="12"/>
      <c r="AB38" s="12"/>
    </row>
    <row r="39" customFormat="false" ht="23.25" hidden="false" customHeight="true" outlineLevel="0" collapsed="false">
      <c r="A39" s="10" t="s">
        <v>208</v>
      </c>
      <c r="B39" s="10" t="s">
        <v>54</v>
      </c>
      <c r="C39" s="10" t="s">
        <v>55</v>
      </c>
      <c r="D39" s="10" t="n">
        <v>1</v>
      </c>
      <c r="E39" s="10" t="str">
        <f aca="false">INDEX(Dim_Department!$B$2:$B$5,MATCH(D39,Dim_Department!$A$2:$A$5,0))</f>
        <v>Nursing</v>
      </c>
      <c r="F39" s="10" t="s">
        <v>72</v>
      </c>
      <c r="G39" s="10" t="s">
        <v>209</v>
      </c>
      <c r="H39" s="10" t="s">
        <v>58</v>
      </c>
      <c r="I39" s="11" t="n">
        <v>45461</v>
      </c>
      <c r="J39" s="11" t="n">
        <v>45471</v>
      </c>
      <c r="K39" s="12" t="s">
        <v>210</v>
      </c>
      <c r="L39" s="10" t="n">
        <v>9</v>
      </c>
      <c r="M39" s="10" t="n">
        <v>9</v>
      </c>
      <c r="N39" s="12" t="s">
        <v>75</v>
      </c>
      <c r="O39" s="13" t="n">
        <v>0.229166666666667</v>
      </c>
      <c r="P39" s="13" t="n">
        <v>0.8125</v>
      </c>
      <c r="Q39" s="10" t="s">
        <v>76</v>
      </c>
      <c r="R39" s="12" t="s">
        <v>77</v>
      </c>
      <c r="S39" s="10" t="n">
        <v>13</v>
      </c>
      <c r="T39" s="10" t="s">
        <v>78</v>
      </c>
      <c r="U39" s="12" t="s">
        <v>211</v>
      </c>
      <c r="V39" s="10" t="n">
        <f aca="false">COUNTIF(Bridge_Trip_Site!$A$2:$A$2000,A39)</f>
        <v>3</v>
      </c>
      <c r="W39" s="14" t="n">
        <v>1400</v>
      </c>
      <c r="X39" s="14" t="n">
        <f aca="false">IF(AND(ISNUMBER(M39),ISNUMBER(W39)),M39*W39,"")</f>
        <v>12600</v>
      </c>
      <c r="Y39" s="10" t="n">
        <v>40</v>
      </c>
      <c r="Z39" s="12" t="s">
        <v>65</v>
      </c>
      <c r="AA39" s="12"/>
      <c r="AB39" s="12"/>
    </row>
    <row r="40" customFormat="false" ht="23.25" hidden="false" customHeight="true" outlineLevel="0" collapsed="false">
      <c r="A40" s="10" t="s">
        <v>212</v>
      </c>
      <c r="B40" s="10" t="s">
        <v>54</v>
      </c>
      <c r="C40" s="10" t="s">
        <v>55</v>
      </c>
      <c r="D40" s="10" t="n">
        <v>1</v>
      </c>
      <c r="E40" s="10" t="str">
        <f aca="false">INDEX(Dim_Department!$B$2:$B$5,MATCH(D40,Dim_Department!$A$2:$A$5,0))</f>
        <v>Nursing</v>
      </c>
      <c r="F40" s="10" t="s">
        <v>72</v>
      </c>
      <c r="G40" s="10" t="s">
        <v>209</v>
      </c>
      <c r="H40" s="10" t="s">
        <v>58</v>
      </c>
      <c r="I40" s="11" t="n">
        <v>45461</v>
      </c>
      <c r="J40" s="11" t="n">
        <v>45471</v>
      </c>
      <c r="K40" s="12" t="s">
        <v>213</v>
      </c>
      <c r="L40" s="10" t="n">
        <v>9</v>
      </c>
      <c r="M40" s="10" t="n">
        <v>9</v>
      </c>
      <c r="N40" s="12" t="s">
        <v>75</v>
      </c>
      <c r="O40" s="13" t="n">
        <v>0.229166666666667</v>
      </c>
      <c r="P40" s="13" t="n">
        <v>0.8125</v>
      </c>
      <c r="Q40" s="10" t="s">
        <v>76</v>
      </c>
      <c r="R40" s="12" t="s">
        <v>77</v>
      </c>
      <c r="S40" s="10" t="n">
        <v>13</v>
      </c>
      <c r="T40" s="10" t="s">
        <v>78</v>
      </c>
      <c r="U40" s="12" t="s">
        <v>214</v>
      </c>
      <c r="V40" s="10" t="n">
        <f aca="false">COUNTIF(Bridge_Trip_Site!$A$2:$A$2000,A40)</f>
        <v>5</v>
      </c>
      <c r="W40" s="14" t="n">
        <v>4500</v>
      </c>
      <c r="X40" s="14" t="n">
        <f aca="false">IF(AND(ISNUMBER(M40),ISNUMBER(W40)),M40*W40,"")</f>
        <v>40500</v>
      </c>
      <c r="Y40" s="10" t="n">
        <v>41</v>
      </c>
      <c r="Z40" s="12" t="s">
        <v>65</v>
      </c>
      <c r="AA40" s="12"/>
      <c r="AB40" s="12"/>
    </row>
    <row r="41" customFormat="false" ht="15" hidden="false" customHeight="true" outlineLevel="0" collapsed="false">
      <c r="A41" s="10" t="s">
        <v>215</v>
      </c>
      <c r="B41" s="10" t="s">
        <v>54</v>
      </c>
      <c r="C41" s="10" t="s">
        <v>55</v>
      </c>
      <c r="D41" s="10" t="n">
        <v>1</v>
      </c>
      <c r="E41" s="10" t="str">
        <f aca="false">INDEX(Dim_Department!$B$2:$B$5,MATCH(D41,Dim_Department!$A$2:$A$5,0))</f>
        <v>Nursing</v>
      </c>
      <c r="F41" s="10" t="s">
        <v>72</v>
      </c>
      <c r="G41" s="10" t="s">
        <v>209</v>
      </c>
      <c r="H41" s="10" t="s">
        <v>58</v>
      </c>
      <c r="I41" s="11" t="n">
        <v>45446</v>
      </c>
      <c r="J41" s="11" t="n">
        <v>45471</v>
      </c>
      <c r="K41" s="12" t="s">
        <v>216</v>
      </c>
      <c r="L41" s="10" t="n">
        <v>8</v>
      </c>
      <c r="M41" s="10" t="n">
        <v>8</v>
      </c>
      <c r="N41" s="12" t="s">
        <v>150</v>
      </c>
      <c r="O41" s="13" t="n">
        <v>0.229166666666667</v>
      </c>
      <c r="P41" s="13" t="n">
        <v>0.8125</v>
      </c>
      <c r="Q41" s="10" t="s">
        <v>76</v>
      </c>
      <c r="R41" s="12" t="s">
        <v>77</v>
      </c>
      <c r="S41" s="10" t="n">
        <v>13</v>
      </c>
      <c r="T41" s="10" t="s">
        <v>78</v>
      </c>
      <c r="U41" s="12" t="s">
        <v>217</v>
      </c>
      <c r="V41" s="10" t="n">
        <f aca="false">COUNTIF(Bridge_Trip_Site!$A$2:$A$2000,A41)</f>
        <v>1</v>
      </c>
      <c r="W41" s="14" t="n">
        <v>3800</v>
      </c>
      <c r="X41" s="14" t="n">
        <f aca="false">IF(AND(ISNUMBER(M41),ISNUMBER(W41)),M41*W41,"")</f>
        <v>30400</v>
      </c>
      <c r="Y41" s="10" t="n">
        <v>42</v>
      </c>
      <c r="Z41" s="12" t="s">
        <v>65</v>
      </c>
      <c r="AA41" s="12"/>
      <c r="AB41" s="12"/>
    </row>
    <row r="42" customFormat="false" ht="15" hidden="false" customHeight="true" outlineLevel="0" collapsed="false">
      <c r="A42" s="10" t="s">
        <v>218</v>
      </c>
      <c r="B42" s="10" t="s">
        <v>54</v>
      </c>
      <c r="C42" s="10" t="s">
        <v>55</v>
      </c>
      <c r="D42" s="10" t="n">
        <v>1</v>
      </c>
      <c r="E42" s="10" t="str">
        <f aca="false">INDEX(Dim_Department!$B$2:$B$5,MATCH(D42,Dim_Department!$A$2:$A$5,0))</f>
        <v>Nursing</v>
      </c>
      <c r="F42" s="10" t="s">
        <v>72</v>
      </c>
      <c r="G42" s="10" t="s">
        <v>219</v>
      </c>
      <c r="H42" s="10" t="s">
        <v>58</v>
      </c>
      <c r="I42" s="11" t="n">
        <v>45461</v>
      </c>
      <c r="J42" s="11" t="n">
        <v>45471</v>
      </c>
      <c r="K42" s="12" t="s">
        <v>210</v>
      </c>
      <c r="L42" s="10" t="n">
        <v>9</v>
      </c>
      <c r="M42" s="10" t="n">
        <v>9</v>
      </c>
      <c r="N42" s="12" t="s">
        <v>75</v>
      </c>
      <c r="O42" s="13" t="n">
        <v>0.729166666666667</v>
      </c>
      <c r="P42" s="13" t="n">
        <v>0.3125</v>
      </c>
      <c r="Q42" s="10" t="s">
        <v>156</v>
      </c>
      <c r="R42" s="12" t="s">
        <v>220</v>
      </c>
      <c r="S42" s="10" t="n">
        <v>13</v>
      </c>
      <c r="T42" s="10" t="s">
        <v>78</v>
      </c>
      <c r="U42" s="12" t="s">
        <v>221</v>
      </c>
      <c r="V42" s="10" t="n">
        <f aca="false">COUNTIF(Bridge_Trip_Site!$A$2:$A$2000,A42)</f>
        <v>1</v>
      </c>
      <c r="W42" s="14" t="n">
        <v>2600</v>
      </c>
      <c r="X42" s="14" t="n">
        <f aca="false">IF(AND(ISNUMBER(M42),ISNUMBER(W42)),M42*W42,"")</f>
        <v>23400</v>
      </c>
      <c r="Y42" s="10" t="n">
        <v>43</v>
      </c>
      <c r="Z42" s="12" t="s">
        <v>65</v>
      </c>
      <c r="AA42" s="12"/>
      <c r="AB42" s="12"/>
    </row>
    <row r="43" customFormat="false" ht="23.25" hidden="false" customHeight="true" outlineLevel="0" collapsed="false">
      <c r="A43" s="10" t="s">
        <v>222</v>
      </c>
      <c r="B43" s="10" t="s">
        <v>54</v>
      </c>
      <c r="C43" s="10" t="s">
        <v>55</v>
      </c>
      <c r="D43" s="10" t="n">
        <v>1</v>
      </c>
      <c r="E43" s="10" t="str">
        <f aca="false">INDEX(Dim_Department!$B$2:$B$5,MATCH(D43,Dim_Department!$A$2:$A$5,0))</f>
        <v>Nursing</v>
      </c>
      <c r="F43" s="10" t="s">
        <v>223</v>
      </c>
      <c r="G43" s="10" t="s">
        <v>219</v>
      </c>
      <c r="H43" s="10" t="s">
        <v>58</v>
      </c>
      <c r="I43" s="11" t="n">
        <v>45445</v>
      </c>
      <c r="J43" s="11" t="n">
        <v>45457</v>
      </c>
      <c r="K43" s="12" t="s">
        <v>224</v>
      </c>
      <c r="L43" s="10" t="n">
        <v>2</v>
      </c>
      <c r="M43" s="10" t="n">
        <v>2</v>
      </c>
      <c r="N43" s="12" t="s">
        <v>119</v>
      </c>
      <c r="O43" s="13"/>
      <c r="P43" s="13"/>
      <c r="Q43" s="10" t="s">
        <v>225</v>
      </c>
      <c r="R43" s="12" t="s">
        <v>226</v>
      </c>
      <c r="S43" s="10" t="n">
        <v>19</v>
      </c>
      <c r="T43" s="10" t="s">
        <v>78</v>
      </c>
      <c r="U43" s="12" t="s">
        <v>227</v>
      </c>
      <c r="V43" s="10" t="n">
        <f aca="false">COUNTIF(Bridge_Trip_Site!$A$2:$A$2000,A43)</f>
        <v>1</v>
      </c>
      <c r="W43" s="14" t="n">
        <v>2450</v>
      </c>
      <c r="X43" s="14" t="n">
        <f aca="false">IF(AND(ISNUMBER(M43),ISNUMBER(W43)),M43*W43,"")</f>
        <v>4900</v>
      </c>
      <c r="Y43" s="10" t="n">
        <v>44</v>
      </c>
      <c r="Z43" s="12" t="s">
        <v>65</v>
      </c>
      <c r="AA43" s="12"/>
      <c r="AB43" s="12"/>
    </row>
    <row r="44" customFormat="false" ht="34.5" hidden="false" customHeight="true" outlineLevel="0" collapsed="false">
      <c r="A44" s="10" t="s">
        <v>228</v>
      </c>
      <c r="B44" s="10" t="s">
        <v>54</v>
      </c>
      <c r="C44" s="10" t="s">
        <v>55</v>
      </c>
      <c r="D44" s="10" t="n">
        <v>3</v>
      </c>
      <c r="E44" s="10" t="str">
        <f aca="false">INDEX(Dim_Department!$B$2:$B$5,MATCH(D44,Dim_Department!$A$2:$A$5,0))</f>
        <v>MITS</v>
      </c>
      <c r="F44" s="10" t="s">
        <v>116</v>
      </c>
      <c r="G44" s="10" t="s">
        <v>229</v>
      </c>
      <c r="H44" s="10" t="s">
        <v>58</v>
      </c>
      <c r="I44" s="11" t="n">
        <v>45488</v>
      </c>
      <c r="J44" s="11" t="n">
        <v>45568</v>
      </c>
      <c r="K44" s="12" t="s">
        <v>230</v>
      </c>
      <c r="L44" s="10" t="n">
        <v>36</v>
      </c>
      <c r="M44" s="10" t="n">
        <v>30</v>
      </c>
      <c r="N44" s="12" t="s">
        <v>231</v>
      </c>
      <c r="O44" s="13" t="n">
        <v>0.25</v>
      </c>
      <c r="P44" s="13" t="n">
        <v>0.666666666666667</v>
      </c>
      <c r="Q44" s="10" t="s">
        <v>76</v>
      </c>
      <c r="R44" s="12" t="s">
        <v>174</v>
      </c>
      <c r="S44" s="10" t="n">
        <v>7</v>
      </c>
      <c r="T44" s="10" t="s">
        <v>78</v>
      </c>
      <c r="U44" s="12" t="s">
        <v>232</v>
      </c>
      <c r="V44" s="10" t="n">
        <f aca="false">COUNTIF(Bridge_Trip_Site!$A$2:$A$2000,A44)</f>
        <v>1</v>
      </c>
      <c r="W44" s="14" t="n">
        <v>850</v>
      </c>
      <c r="X44" s="14" t="n">
        <f aca="false">IF(AND(ISNUMBER(M44),ISNUMBER(W44)),M44*W44,"")</f>
        <v>25500</v>
      </c>
      <c r="Y44" s="10" t="n">
        <v>45</v>
      </c>
      <c r="Z44" s="12" t="s">
        <v>65</v>
      </c>
      <c r="AA44" s="12"/>
      <c r="AB44" s="12"/>
    </row>
    <row r="45" customFormat="false" ht="23.25" hidden="false" customHeight="true" outlineLevel="0" collapsed="false">
      <c r="A45" s="10" t="s">
        <v>233</v>
      </c>
      <c r="B45" s="10" t="s">
        <v>54</v>
      </c>
      <c r="C45" s="10" t="s">
        <v>55</v>
      </c>
      <c r="D45" s="10" t="n">
        <v>3</v>
      </c>
      <c r="E45" s="10" t="str">
        <f aca="false">INDEX(Dim_Department!$B$2:$B$5,MATCH(D45,Dim_Department!$A$2:$A$5,0))</f>
        <v>MITS</v>
      </c>
      <c r="F45" s="10" t="s">
        <v>116</v>
      </c>
      <c r="G45" s="10" t="s">
        <v>229</v>
      </c>
      <c r="H45" s="10" t="s">
        <v>58</v>
      </c>
      <c r="I45" s="11" t="n">
        <v>45488</v>
      </c>
      <c r="J45" s="11" t="n">
        <v>45568</v>
      </c>
      <c r="K45" s="12" t="s">
        <v>234</v>
      </c>
      <c r="L45" s="10" t="n">
        <v>25</v>
      </c>
      <c r="M45" s="10" t="n">
        <v>29</v>
      </c>
      <c r="N45" s="12" t="s">
        <v>235</v>
      </c>
      <c r="O45" s="13" t="n">
        <v>0.270833333333333</v>
      </c>
      <c r="P45" s="13" t="n">
        <v>0.666666666666667</v>
      </c>
      <c r="Q45" s="10" t="s">
        <v>76</v>
      </c>
      <c r="R45" s="12" t="s">
        <v>236</v>
      </c>
      <c r="S45" s="10" t="n">
        <v>7</v>
      </c>
      <c r="T45" s="10" t="s">
        <v>78</v>
      </c>
      <c r="U45" s="12" t="s">
        <v>237</v>
      </c>
      <c r="V45" s="10" t="n">
        <f aca="false">COUNTIF(Bridge_Trip_Site!$A$2:$A$2000,A45)</f>
        <v>1</v>
      </c>
      <c r="W45" s="14" t="n">
        <v>850</v>
      </c>
      <c r="X45" s="14" t="n">
        <f aca="false">IF(AND(ISNUMBER(M45),ISNUMBER(W45)),M45*W45,"")</f>
        <v>24650</v>
      </c>
      <c r="Y45" s="10" t="n">
        <v>46</v>
      </c>
      <c r="Z45" s="12" t="s">
        <v>65</v>
      </c>
      <c r="AA45" s="12"/>
      <c r="AB45" s="12"/>
    </row>
    <row r="46" customFormat="false" ht="23.25" hidden="false" customHeight="true" outlineLevel="0" collapsed="false">
      <c r="A46" s="10" t="s">
        <v>238</v>
      </c>
      <c r="B46" s="10" t="s">
        <v>54</v>
      </c>
      <c r="C46" s="10" t="s">
        <v>55</v>
      </c>
      <c r="D46" s="10" t="n">
        <v>3</v>
      </c>
      <c r="E46" s="10" t="str">
        <f aca="false">INDEX(Dim_Department!$B$2:$B$5,MATCH(D46,Dim_Department!$A$2:$A$5,0))</f>
        <v>MITS</v>
      </c>
      <c r="F46" s="10" t="s">
        <v>116</v>
      </c>
      <c r="G46" s="10" t="s">
        <v>229</v>
      </c>
      <c r="H46" s="10" t="s">
        <v>58</v>
      </c>
      <c r="I46" s="11" t="n">
        <v>45495</v>
      </c>
      <c r="J46" s="11" t="n">
        <v>45562</v>
      </c>
      <c r="K46" s="12" t="s">
        <v>239</v>
      </c>
      <c r="L46" s="10" t="n">
        <v>23</v>
      </c>
      <c r="M46" s="10" t="n">
        <v>23</v>
      </c>
      <c r="N46" s="12" t="s">
        <v>240</v>
      </c>
      <c r="O46" s="13" t="n">
        <v>0.270833333333333</v>
      </c>
      <c r="P46" s="13" t="n">
        <v>0.666666666666667</v>
      </c>
      <c r="Q46" s="10" t="s">
        <v>76</v>
      </c>
      <c r="R46" s="12" t="s">
        <v>236</v>
      </c>
      <c r="S46" s="10" t="n">
        <v>7</v>
      </c>
      <c r="T46" s="10" t="s">
        <v>78</v>
      </c>
      <c r="U46" s="12" t="s">
        <v>175</v>
      </c>
      <c r="V46" s="10" t="n">
        <f aca="false">COUNTIF(Bridge_Trip_Site!$A$2:$A$2000,A46)</f>
        <v>1</v>
      </c>
      <c r="W46" s="14" t="n">
        <v>780</v>
      </c>
      <c r="X46" s="14" t="n">
        <f aca="false">IF(AND(ISNUMBER(M46),ISNUMBER(W46)),M46*W46,"")</f>
        <v>17940</v>
      </c>
      <c r="Y46" s="10" t="n">
        <v>47</v>
      </c>
      <c r="Z46" s="12" t="s">
        <v>65</v>
      </c>
      <c r="AA46" s="12"/>
      <c r="AB46" s="12"/>
    </row>
    <row r="47" customFormat="false" ht="23.25" hidden="false" customHeight="true" outlineLevel="0" collapsed="false">
      <c r="A47" s="10" t="s">
        <v>241</v>
      </c>
      <c r="B47" s="10" t="s">
        <v>54</v>
      </c>
      <c r="C47" s="10" t="s">
        <v>55</v>
      </c>
      <c r="D47" s="10" t="n">
        <v>3</v>
      </c>
      <c r="E47" s="10" t="str">
        <f aca="false">INDEX(Dim_Department!$B$2:$B$5,MATCH(D47,Dim_Department!$A$2:$A$5,0))</f>
        <v>MITS</v>
      </c>
      <c r="F47" s="10" t="s">
        <v>116</v>
      </c>
      <c r="G47" s="10" t="s">
        <v>229</v>
      </c>
      <c r="H47" s="10" t="s">
        <v>58</v>
      </c>
      <c r="I47" s="11" t="n">
        <v>45488</v>
      </c>
      <c r="J47" s="11" t="n">
        <v>45554</v>
      </c>
      <c r="K47" s="12" t="s">
        <v>242</v>
      </c>
      <c r="L47" s="10" t="n">
        <v>9</v>
      </c>
      <c r="M47" s="10" t="n">
        <v>9</v>
      </c>
      <c r="N47" s="12" t="s">
        <v>75</v>
      </c>
      <c r="O47" s="13" t="n">
        <v>0.75</v>
      </c>
      <c r="P47" s="13" t="n">
        <v>0.291666666666667</v>
      </c>
      <c r="Q47" s="10" t="s">
        <v>156</v>
      </c>
      <c r="R47" s="12" t="s">
        <v>157</v>
      </c>
      <c r="S47" s="10" t="n">
        <v>7</v>
      </c>
      <c r="T47" s="10" t="s">
        <v>78</v>
      </c>
      <c r="U47" s="12" t="s">
        <v>243</v>
      </c>
      <c r="V47" s="10" t="n">
        <f aca="false">COUNTIF(Bridge_Trip_Site!$A$2:$A$2000,A47)</f>
        <v>1</v>
      </c>
      <c r="W47" s="14" t="n">
        <v>850</v>
      </c>
      <c r="X47" s="14" t="n">
        <f aca="false">IF(AND(ISNUMBER(M47),ISNUMBER(W47)),M47*W47,"")</f>
        <v>7650</v>
      </c>
      <c r="Y47" s="10" t="n">
        <v>48</v>
      </c>
      <c r="Z47" s="12" t="s">
        <v>65</v>
      </c>
      <c r="AA47" s="12"/>
      <c r="AB47" s="12"/>
    </row>
    <row r="48" customFormat="false" ht="23.25" hidden="false" customHeight="true" outlineLevel="0" collapsed="false">
      <c r="A48" s="10" t="s">
        <v>244</v>
      </c>
      <c r="B48" s="10" t="s">
        <v>54</v>
      </c>
      <c r="C48" s="10" t="s">
        <v>55</v>
      </c>
      <c r="D48" s="10" t="n">
        <v>3</v>
      </c>
      <c r="E48" s="10" t="str">
        <f aca="false">INDEX(Dim_Department!$B$2:$B$5,MATCH(D48,Dim_Department!$A$2:$A$5,0))</f>
        <v>MITS</v>
      </c>
      <c r="F48" s="10" t="s">
        <v>116</v>
      </c>
      <c r="G48" s="10" t="s">
        <v>229</v>
      </c>
      <c r="H48" s="10" t="s">
        <v>58</v>
      </c>
      <c r="I48" s="11" t="n">
        <v>45493</v>
      </c>
      <c r="J48" s="11" t="n">
        <v>45556</v>
      </c>
      <c r="K48" s="12" t="s">
        <v>245</v>
      </c>
      <c r="L48" s="10" t="n">
        <v>6</v>
      </c>
      <c r="M48" s="10" t="n">
        <v>6</v>
      </c>
      <c r="N48" s="12" t="s">
        <v>145</v>
      </c>
      <c r="O48" s="13" t="n">
        <v>0.291666666666667</v>
      </c>
      <c r="P48" s="13" t="n">
        <v>0.666666666666667</v>
      </c>
      <c r="Q48" s="10" t="s">
        <v>76</v>
      </c>
      <c r="R48" s="12" t="s">
        <v>151</v>
      </c>
      <c r="S48" s="10" t="n">
        <v>7</v>
      </c>
      <c r="T48" s="10" t="s">
        <v>78</v>
      </c>
      <c r="U48" s="12" t="s">
        <v>243</v>
      </c>
      <c r="V48" s="10" t="n">
        <f aca="false">COUNTIF(Bridge_Trip_Site!$A$2:$A$2000,A48)</f>
        <v>1</v>
      </c>
      <c r="W48" s="14" t="n">
        <v>850</v>
      </c>
      <c r="X48" s="14" t="n">
        <f aca="false">IF(AND(ISNUMBER(M48),ISNUMBER(W48)),M48*W48,"")</f>
        <v>5100</v>
      </c>
      <c r="Y48" s="10" t="n">
        <v>49</v>
      </c>
      <c r="Z48" s="12" t="s">
        <v>65</v>
      </c>
      <c r="AA48" s="12"/>
      <c r="AB48" s="12"/>
    </row>
    <row r="49" customFormat="false" ht="34.5" hidden="false" customHeight="true" outlineLevel="0" collapsed="false">
      <c r="A49" s="10" t="s">
        <v>246</v>
      </c>
      <c r="B49" s="10" t="s">
        <v>54</v>
      </c>
      <c r="C49" s="10" t="s">
        <v>55</v>
      </c>
      <c r="D49" s="10" t="n">
        <v>3</v>
      </c>
      <c r="E49" s="10" t="str">
        <f aca="false">INDEX(Dim_Department!$B$2:$B$5,MATCH(D49,Dim_Department!$A$2:$A$5,0))</f>
        <v>MITS</v>
      </c>
      <c r="F49" s="10" t="s">
        <v>116</v>
      </c>
      <c r="G49" s="10" t="s">
        <v>229</v>
      </c>
      <c r="H49" s="10" t="s">
        <v>58</v>
      </c>
      <c r="I49" s="11" t="n">
        <v>45501</v>
      </c>
      <c r="J49" s="11" t="n">
        <v>45567</v>
      </c>
      <c r="K49" s="12" t="s">
        <v>247</v>
      </c>
      <c r="L49" s="10" t="n">
        <v>21</v>
      </c>
      <c r="M49" s="10" t="n">
        <v>21</v>
      </c>
      <c r="N49" s="12" t="s">
        <v>248</v>
      </c>
      <c r="O49" s="13" t="n">
        <v>0.75</v>
      </c>
      <c r="P49" s="13" t="n">
        <v>0.291666666666667</v>
      </c>
      <c r="Q49" s="10" t="s">
        <v>156</v>
      </c>
      <c r="R49" s="12" t="s">
        <v>157</v>
      </c>
      <c r="S49" s="10" t="n">
        <v>7</v>
      </c>
      <c r="T49" s="10" t="s">
        <v>78</v>
      </c>
      <c r="U49" s="12" t="s">
        <v>249</v>
      </c>
      <c r="V49" s="10" t="n">
        <f aca="false">COUNTIF(Bridge_Trip_Site!$A$2:$A$2000,A49)</f>
        <v>1</v>
      </c>
      <c r="W49" s="14" t="n">
        <v>780</v>
      </c>
      <c r="X49" s="14" t="n">
        <f aca="false">IF(AND(ISNUMBER(M49),ISNUMBER(W49)),M49*W49,"")</f>
        <v>16380</v>
      </c>
      <c r="Y49" s="10" t="n">
        <v>50</v>
      </c>
      <c r="Z49" s="12" t="s">
        <v>65</v>
      </c>
      <c r="AA49" s="12"/>
      <c r="AB49" s="12"/>
    </row>
    <row r="50" customFormat="false" ht="23.25" hidden="false" customHeight="true" outlineLevel="0" collapsed="false">
      <c r="A50" s="10" t="s">
        <v>250</v>
      </c>
      <c r="B50" s="10" t="s">
        <v>54</v>
      </c>
      <c r="C50" s="10" t="s">
        <v>55</v>
      </c>
      <c r="D50" s="10" t="n">
        <v>3</v>
      </c>
      <c r="E50" s="10" t="str">
        <f aca="false">INDEX(Dim_Department!$B$2:$B$5,MATCH(D50,Dim_Department!$A$2:$A$5,0))</f>
        <v>MITS</v>
      </c>
      <c r="F50" s="10" t="s">
        <v>116</v>
      </c>
      <c r="G50" s="10" t="s">
        <v>229</v>
      </c>
      <c r="H50" s="10" t="s">
        <v>58</v>
      </c>
      <c r="I50" s="11" t="n">
        <v>45502</v>
      </c>
      <c r="J50" s="11" t="n">
        <v>45562</v>
      </c>
      <c r="K50" s="12" t="s">
        <v>251</v>
      </c>
      <c r="L50" s="10" t="n">
        <v>22</v>
      </c>
      <c r="M50" s="10" t="n">
        <v>22</v>
      </c>
      <c r="N50" s="12" t="s">
        <v>252</v>
      </c>
      <c r="O50" s="13" t="n">
        <v>0.270833333333333</v>
      </c>
      <c r="P50" s="13" t="n">
        <v>0.666666666666667</v>
      </c>
      <c r="Q50" s="10" t="s">
        <v>76</v>
      </c>
      <c r="R50" s="12" t="s">
        <v>167</v>
      </c>
      <c r="S50" s="10" t="n">
        <v>7</v>
      </c>
      <c r="T50" s="10" t="s">
        <v>78</v>
      </c>
      <c r="U50" s="12" t="s">
        <v>253</v>
      </c>
      <c r="V50" s="10" t="n">
        <f aca="false">COUNTIF(Bridge_Trip_Site!$A$2:$A$2000,A50)</f>
        <v>3</v>
      </c>
      <c r="W50" s="14" t="n">
        <v>1200</v>
      </c>
      <c r="X50" s="14" t="n">
        <f aca="false">IF(AND(ISNUMBER(M50),ISNUMBER(W50)),M50*W50,"")</f>
        <v>26400</v>
      </c>
      <c r="Y50" s="10" t="n">
        <v>51</v>
      </c>
      <c r="Z50" s="12" t="s">
        <v>65</v>
      </c>
      <c r="AA50" s="12"/>
      <c r="AB50" s="12"/>
    </row>
    <row r="51" customFormat="false" ht="23.25" hidden="false" customHeight="true" outlineLevel="0" collapsed="false">
      <c r="A51" s="10" t="s">
        <v>254</v>
      </c>
      <c r="B51" s="10" t="s">
        <v>54</v>
      </c>
      <c r="C51" s="10" t="s">
        <v>55</v>
      </c>
      <c r="D51" s="10" t="n">
        <v>3</v>
      </c>
      <c r="E51" s="10" t="str">
        <f aca="false">INDEX(Dim_Department!$B$2:$B$5,MATCH(D51,Dim_Department!$A$2:$A$5,0))</f>
        <v>MITS</v>
      </c>
      <c r="F51" s="10" t="s">
        <v>116</v>
      </c>
      <c r="G51" s="10" t="s">
        <v>229</v>
      </c>
      <c r="H51" s="10" t="s">
        <v>58</v>
      </c>
      <c r="I51" s="11" t="n">
        <v>45502</v>
      </c>
      <c r="J51" s="11" t="n">
        <v>45568</v>
      </c>
      <c r="K51" s="12" t="s">
        <v>255</v>
      </c>
      <c r="L51" s="10" t="n">
        <v>13</v>
      </c>
      <c r="M51" s="10" t="n">
        <v>13</v>
      </c>
      <c r="N51" s="12" t="s">
        <v>256</v>
      </c>
      <c r="O51" s="13" t="n">
        <v>0.270833333333333</v>
      </c>
      <c r="P51" s="13" t="n">
        <v>0.666666666666667</v>
      </c>
      <c r="Q51" s="10" t="s">
        <v>76</v>
      </c>
      <c r="R51" s="12" t="s">
        <v>167</v>
      </c>
      <c r="S51" s="10" t="n">
        <v>7</v>
      </c>
      <c r="T51" s="10" t="s">
        <v>78</v>
      </c>
      <c r="U51" s="12" t="s">
        <v>257</v>
      </c>
      <c r="V51" s="10" t="n">
        <f aca="false">COUNTIF(Bridge_Trip_Site!$A$2:$A$2000,A51)</f>
        <v>2</v>
      </c>
      <c r="W51" s="14" t="n">
        <v>1600</v>
      </c>
      <c r="X51" s="14" t="n">
        <f aca="false">IF(AND(ISNUMBER(M51),ISNUMBER(W51)),M51*W51,"")</f>
        <v>20800</v>
      </c>
      <c r="Y51" s="10" t="n">
        <v>52</v>
      </c>
      <c r="Z51" s="12" t="s">
        <v>65</v>
      </c>
      <c r="AA51" s="12"/>
      <c r="AB51" s="12"/>
    </row>
    <row r="52" customFormat="false" ht="15" hidden="false" customHeight="true" outlineLevel="0" collapsed="false">
      <c r="A52" s="10" t="s">
        <v>258</v>
      </c>
      <c r="B52" s="10" t="s">
        <v>54</v>
      </c>
      <c r="C52" s="10" t="s">
        <v>55</v>
      </c>
      <c r="D52" s="10" t="n">
        <v>3</v>
      </c>
      <c r="E52" s="10" t="str">
        <f aca="false">INDEX(Dim_Department!$B$2:$B$5,MATCH(D52,Dim_Department!$A$2:$A$5,0))</f>
        <v>MITS</v>
      </c>
      <c r="F52" s="10" t="s">
        <v>116</v>
      </c>
      <c r="G52" s="10" t="s">
        <v>229</v>
      </c>
      <c r="H52" s="10" t="s">
        <v>58</v>
      </c>
      <c r="I52" s="11" t="n">
        <v>45530</v>
      </c>
      <c r="J52" s="11" t="n">
        <v>45541</v>
      </c>
      <c r="K52" s="12" t="s">
        <v>259</v>
      </c>
      <c r="L52" s="10" t="n">
        <v>10</v>
      </c>
      <c r="M52" s="10" t="n">
        <v>10</v>
      </c>
      <c r="N52" s="12" t="s">
        <v>138</v>
      </c>
      <c r="O52" s="13" t="n">
        <v>0.25</v>
      </c>
      <c r="P52" s="13" t="n">
        <v>0.666666666666667</v>
      </c>
      <c r="Q52" s="10" t="s">
        <v>76</v>
      </c>
      <c r="R52" s="12" t="s">
        <v>174</v>
      </c>
      <c r="S52" s="10" t="n">
        <v>7</v>
      </c>
      <c r="T52" s="10" t="s">
        <v>78</v>
      </c>
      <c r="U52" s="12" t="s">
        <v>260</v>
      </c>
      <c r="V52" s="10" t="n">
        <f aca="false">COUNTIF(Bridge_Trip_Site!$A$2:$A$2000,A52)</f>
        <v>2</v>
      </c>
      <c r="W52" s="14" t="n">
        <v>980</v>
      </c>
      <c r="X52" s="14" t="n">
        <f aca="false">IF(AND(ISNUMBER(M52),ISNUMBER(W52)),M52*W52,"")</f>
        <v>9800</v>
      </c>
      <c r="Y52" s="10" t="n">
        <v>53</v>
      </c>
      <c r="Z52" s="12" t="s">
        <v>65</v>
      </c>
      <c r="AA52" s="12"/>
      <c r="AB52" s="12"/>
    </row>
    <row r="53" customFormat="false" ht="15" hidden="false" customHeight="true" outlineLevel="0" collapsed="false">
      <c r="A53" s="10" t="s">
        <v>261</v>
      </c>
      <c r="B53" s="10" t="s">
        <v>54</v>
      </c>
      <c r="C53" s="10" t="s">
        <v>55</v>
      </c>
      <c r="D53" s="10" t="n">
        <v>3</v>
      </c>
      <c r="E53" s="10" t="str">
        <f aca="false">INDEX(Dim_Department!$B$2:$B$5,MATCH(D53,Dim_Department!$A$2:$A$5,0))</f>
        <v>MITS</v>
      </c>
      <c r="F53" s="10" t="s">
        <v>116</v>
      </c>
      <c r="G53" s="10" t="s">
        <v>229</v>
      </c>
      <c r="H53" s="10" t="s">
        <v>58</v>
      </c>
      <c r="I53" s="11" t="n">
        <v>45530</v>
      </c>
      <c r="J53" s="11" t="n">
        <v>45534</v>
      </c>
      <c r="K53" s="12" t="s">
        <v>262</v>
      </c>
      <c r="L53" s="10" t="n">
        <v>5</v>
      </c>
      <c r="M53" s="10" t="n">
        <v>5</v>
      </c>
      <c r="N53" s="12" t="s">
        <v>181</v>
      </c>
      <c r="O53" s="13" t="n">
        <v>0.270833333333333</v>
      </c>
      <c r="P53" s="13" t="n">
        <v>0.666666666666667</v>
      </c>
      <c r="Q53" s="10" t="s">
        <v>76</v>
      </c>
      <c r="R53" s="12" t="s">
        <v>167</v>
      </c>
      <c r="S53" s="10" t="n">
        <v>7</v>
      </c>
      <c r="T53" s="10" t="s">
        <v>78</v>
      </c>
      <c r="U53" s="12" t="s">
        <v>263</v>
      </c>
      <c r="V53" s="10" t="n">
        <f aca="false">COUNTIF(Bridge_Trip_Site!$A$2:$A$2000,A53)</f>
        <v>1</v>
      </c>
      <c r="W53" s="14" t="n">
        <v>980</v>
      </c>
      <c r="X53" s="14" t="n">
        <f aca="false">IF(AND(ISNUMBER(M53),ISNUMBER(W53)),M53*W53,"")</f>
        <v>4900</v>
      </c>
      <c r="Y53" s="10" t="n">
        <v>54</v>
      </c>
      <c r="Z53" s="12" t="s">
        <v>65</v>
      </c>
      <c r="AA53" s="12"/>
      <c r="AB53" s="12"/>
    </row>
    <row r="54" customFormat="false" ht="15" hidden="false" customHeight="true" outlineLevel="0" collapsed="false">
      <c r="A54" s="10" t="s">
        <v>264</v>
      </c>
      <c r="B54" s="10" t="s">
        <v>54</v>
      </c>
      <c r="C54" s="10" t="s">
        <v>55</v>
      </c>
      <c r="D54" s="10" t="n">
        <v>3</v>
      </c>
      <c r="E54" s="10" t="str">
        <f aca="false">INDEX(Dim_Department!$B$2:$B$5,MATCH(D54,Dim_Department!$A$2:$A$5,0))</f>
        <v>MITS</v>
      </c>
      <c r="F54" s="10" t="s">
        <v>116</v>
      </c>
      <c r="G54" s="10" t="s">
        <v>229</v>
      </c>
      <c r="H54" s="10" t="s">
        <v>58</v>
      </c>
      <c r="I54" s="11" t="n">
        <v>45488</v>
      </c>
      <c r="J54" s="11" t="n">
        <v>45492</v>
      </c>
      <c r="K54" s="12" t="s">
        <v>265</v>
      </c>
      <c r="L54" s="10" t="n">
        <v>5</v>
      </c>
      <c r="M54" s="10" t="n">
        <v>5</v>
      </c>
      <c r="N54" s="12" t="s">
        <v>181</v>
      </c>
      <c r="O54" s="13" t="n">
        <v>0.270833333333333</v>
      </c>
      <c r="P54" s="13" t="n">
        <v>0.666666666666667</v>
      </c>
      <c r="Q54" s="10" t="s">
        <v>76</v>
      </c>
      <c r="R54" s="12" t="s">
        <v>167</v>
      </c>
      <c r="S54" s="10" t="n">
        <v>7</v>
      </c>
      <c r="T54" s="10" t="s">
        <v>78</v>
      </c>
      <c r="U54" s="12" t="s">
        <v>266</v>
      </c>
      <c r="V54" s="10" t="n">
        <f aca="false">COUNTIF(Bridge_Trip_Site!$A$2:$A$2000,A54)</f>
        <v>2</v>
      </c>
      <c r="W54" s="14" t="n">
        <v>4600</v>
      </c>
      <c r="X54" s="14" t="n">
        <f aca="false">IF(AND(ISNUMBER(M54),ISNUMBER(W54)),M54*W54,"")</f>
        <v>23000</v>
      </c>
      <c r="Y54" s="10" t="n">
        <v>55</v>
      </c>
      <c r="Z54" s="12" t="s">
        <v>65</v>
      </c>
      <c r="AA54" s="12"/>
      <c r="AB54" s="12"/>
    </row>
    <row r="55" customFormat="false" ht="15" hidden="false" customHeight="true" outlineLevel="0" collapsed="false">
      <c r="A55" s="10" t="s">
        <v>267</v>
      </c>
      <c r="B55" s="10" t="s">
        <v>54</v>
      </c>
      <c r="C55" s="10" t="s">
        <v>55</v>
      </c>
      <c r="D55" s="10" t="n">
        <v>1</v>
      </c>
      <c r="E55" s="10" t="str">
        <f aca="false">INDEX(Dim_Department!$B$2:$B$5,MATCH(D55,Dim_Department!$A$2:$A$5,0))</f>
        <v>Nursing</v>
      </c>
      <c r="F55" s="10" t="s">
        <v>72</v>
      </c>
      <c r="G55" s="10" t="s">
        <v>268</v>
      </c>
      <c r="H55" s="10" t="s">
        <v>58</v>
      </c>
      <c r="I55" s="11" t="n">
        <v>45488</v>
      </c>
      <c r="J55" s="11" t="n">
        <v>45499</v>
      </c>
      <c r="K55" s="12" t="s">
        <v>269</v>
      </c>
      <c r="L55" s="10" t="n">
        <v>10</v>
      </c>
      <c r="M55" s="10" t="n">
        <v>10</v>
      </c>
      <c r="N55" s="12" t="s">
        <v>138</v>
      </c>
      <c r="O55" s="13" t="n">
        <v>0.729166666666667</v>
      </c>
      <c r="P55" s="13" t="n">
        <v>0.3125</v>
      </c>
      <c r="Q55" s="10" t="s">
        <v>156</v>
      </c>
      <c r="R55" s="12" t="s">
        <v>220</v>
      </c>
      <c r="S55" s="10" t="n">
        <v>13</v>
      </c>
      <c r="T55" s="10" t="s">
        <v>78</v>
      </c>
      <c r="U55" s="12" t="s">
        <v>270</v>
      </c>
      <c r="V55" s="10" t="n">
        <f aca="false">COUNTIF(Bridge_Trip_Site!$A$2:$A$2000,A55)</f>
        <v>1</v>
      </c>
      <c r="W55" s="14" t="n">
        <v>3800</v>
      </c>
      <c r="X55" s="14" t="n">
        <f aca="false">IF(AND(ISNUMBER(M55),ISNUMBER(W55)),M55*W55,"")</f>
        <v>38000</v>
      </c>
      <c r="Y55" s="10" t="n">
        <v>56</v>
      </c>
      <c r="Z55" s="12" t="s">
        <v>65</v>
      </c>
      <c r="AA55" s="12"/>
      <c r="AB55" s="12"/>
    </row>
    <row r="56" customFormat="false" ht="15" hidden="false" customHeight="true" outlineLevel="0" collapsed="false">
      <c r="A56" s="10" t="s">
        <v>271</v>
      </c>
      <c r="B56" s="10" t="s">
        <v>54</v>
      </c>
      <c r="C56" s="10" t="s">
        <v>55</v>
      </c>
      <c r="D56" s="10" t="n">
        <v>1</v>
      </c>
      <c r="E56" s="10" t="str">
        <f aca="false">INDEX(Dim_Department!$B$2:$B$5,MATCH(D56,Dim_Department!$A$2:$A$5,0))</f>
        <v>Nursing</v>
      </c>
      <c r="F56" s="10" t="s">
        <v>272</v>
      </c>
      <c r="G56" s="10" t="s">
        <v>268</v>
      </c>
      <c r="H56" s="10" t="s">
        <v>58</v>
      </c>
      <c r="I56" s="11" t="n">
        <v>45488</v>
      </c>
      <c r="J56" s="11" t="n">
        <v>45506</v>
      </c>
      <c r="K56" s="12" t="s">
        <v>273</v>
      </c>
      <c r="L56" s="10" t="n">
        <v>2</v>
      </c>
      <c r="M56" s="10" t="n">
        <v>2</v>
      </c>
      <c r="N56" s="12" t="s">
        <v>119</v>
      </c>
      <c r="O56" s="13" t="n">
        <v>0.5</v>
      </c>
      <c r="P56" s="13" t="n">
        <v>0.5</v>
      </c>
      <c r="Q56" s="10" t="s">
        <v>76</v>
      </c>
      <c r="R56" s="12" t="s">
        <v>274</v>
      </c>
      <c r="S56" s="10" t="n">
        <v>22</v>
      </c>
      <c r="T56" s="10" t="s">
        <v>78</v>
      </c>
      <c r="U56" s="12" t="s">
        <v>275</v>
      </c>
      <c r="V56" s="10" t="n">
        <f aca="false">COUNTIF(Bridge_Trip_Site!$A$2:$A$2000,A56)</f>
        <v>1</v>
      </c>
      <c r="W56" s="14" t="n">
        <v>3600</v>
      </c>
      <c r="X56" s="14" t="n">
        <f aca="false">IF(AND(ISNUMBER(M56),ISNUMBER(W56)),M56*W56,"")</f>
        <v>7200</v>
      </c>
      <c r="Y56" s="10" t="n">
        <v>57</v>
      </c>
      <c r="Z56" s="12" t="s">
        <v>65</v>
      </c>
      <c r="AA56" s="12"/>
      <c r="AB56" s="12"/>
    </row>
    <row r="57" customFormat="false" ht="23.25" hidden="false" customHeight="true" outlineLevel="0" collapsed="false">
      <c r="A57" s="10" t="s">
        <v>276</v>
      </c>
      <c r="B57" s="10" t="s">
        <v>54</v>
      </c>
      <c r="C57" s="10" t="s">
        <v>55</v>
      </c>
      <c r="D57" s="10" t="n">
        <v>1</v>
      </c>
      <c r="E57" s="10" t="str">
        <f aca="false">INDEX(Dim_Department!$B$2:$B$5,MATCH(D57,Dim_Department!$A$2:$A$5,0))</f>
        <v>Nursing</v>
      </c>
      <c r="F57" s="10" t="s">
        <v>72</v>
      </c>
      <c r="G57" s="10" t="s">
        <v>277</v>
      </c>
      <c r="H57" s="10" t="s">
        <v>58</v>
      </c>
      <c r="I57" s="11" t="n">
        <v>45488</v>
      </c>
      <c r="J57" s="11" t="n">
        <v>45504</v>
      </c>
      <c r="K57" s="12" t="s">
        <v>278</v>
      </c>
      <c r="L57" s="10" t="n">
        <v>13</v>
      </c>
      <c r="M57" s="10" t="n">
        <v>13</v>
      </c>
      <c r="N57" s="12" t="s">
        <v>256</v>
      </c>
      <c r="O57" s="13" t="n">
        <v>0.229166666666667</v>
      </c>
      <c r="P57" s="13" t="n">
        <v>0.8125</v>
      </c>
      <c r="Q57" s="10" t="s">
        <v>76</v>
      </c>
      <c r="R57" s="12" t="s">
        <v>77</v>
      </c>
      <c r="S57" s="10" t="n">
        <v>13</v>
      </c>
      <c r="T57" s="10" t="s">
        <v>78</v>
      </c>
      <c r="U57" s="12" t="s">
        <v>279</v>
      </c>
      <c r="V57" s="10" t="n">
        <f aca="false">COUNTIF(Bridge_Trip_Site!$A$2:$A$2000,A57)</f>
        <v>4</v>
      </c>
      <c r="W57" s="14" t="n">
        <v>1600</v>
      </c>
      <c r="X57" s="14" t="n">
        <f aca="false">IF(AND(ISNUMBER(M57),ISNUMBER(W57)),M57*W57,"")</f>
        <v>20800</v>
      </c>
      <c r="Y57" s="10" t="n">
        <v>58</v>
      </c>
      <c r="Z57" s="12" t="s">
        <v>65</v>
      </c>
      <c r="AA57" s="12"/>
      <c r="AB57" s="12"/>
    </row>
    <row r="58" customFormat="false" ht="23.25" hidden="false" customHeight="true" outlineLevel="0" collapsed="false">
      <c r="A58" s="10" t="s">
        <v>280</v>
      </c>
      <c r="B58" s="10" t="s">
        <v>54</v>
      </c>
      <c r="C58" s="10" t="s">
        <v>55</v>
      </c>
      <c r="D58" s="10" t="n">
        <v>1</v>
      </c>
      <c r="E58" s="10" t="str">
        <f aca="false">INDEX(Dim_Department!$B$2:$B$5,MATCH(D58,Dim_Department!$A$2:$A$5,0))</f>
        <v>Nursing</v>
      </c>
      <c r="F58" s="10" t="s">
        <v>72</v>
      </c>
      <c r="G58" s="10" t="s">
        <v>277</v>
      </c>
      <c r="H58" s="10" t="s">
        <v>281</v>
      </c>
      <c r="I58" s="11" t="n">
        <v>45488</v>
      </c>
      <c r="J58" s="11" t="n">
        <v>45499</v>
      </c>
      <c r="K58" s="12" t="s">
        <v>269</v>
      </c>
      <c r="L58" s="10" t="n">
        <v>10</v>
      </c>
      <c r="M58" s="10" t="n">
        <v>10</v>
      </c>
      <c r="N58" s="12" t="s">
        <v>138</v>
      </c>
      <c r="O58" s="13" t="n">
        <v>0.229166666666667</v>
      </c>
      <c r="P58" s="13" t="n">
        <v>0.8125</v>
      </c>
      <c r="Q58" s="10" t="s">
        <v>76</v>
      </c>
      <c r="R58" s="12" t="s">
        <v>77</v>
      </c>
      <c r="S58" s="10" t="n">
        <v>13</v>
      </c>
      <c r="T58" s="10" t="s">
        <v>78</v>
      </c>
      <c r="U58" s="12" t="s">
        <v>282</v>
      </c>
      <c r="V58" s="10" t="n">
        <f aca="false">COUNTIF(Bridge_Trip_Site!$A$2:$A$2000,A58)</f>
        <v>5</v>
      </c>
      <c r="W58" s="14" t="n">
        <v>2200</v>
      </c>
      <c r="X58" s="14" t="n">
        <f aca="false">IF(AND(ISNUMBER(M58),ISNUMBER(W58)),M58*W58,"")</f>
        <v>22000</v>
      </c>
      <c r="Y58" s="10" t="n">
        <v>59</v>
      </c>
      <c r="Z58" s="12" t="s">
        <v>65</v>
      </c>
      <c r="AA58" s="12"/>
      <c r="AB58" s="12"/>
    </row>
    <row r="59" customFormat="false" ht="23.25" hidden="false" customHeight="true" outlineLevel="0" collapsed="false">
      <c r="A59" s="10" t="s">
        <v>283</v>
      </c>
      <c r="B59" s="10" t="s">
        <v>54</v>
      </c>
      <c r="C59" s="10" t="s">
        <v>55</v>
      </c>
      <c r="D59" s="10" t="n">
        <v>1</v>
      </c>
      <c r="E59" s="10" t="str">
        <f aca="false">INDEX(Dim_Department!$B$2:$B$5,MATCH(D59,Dim_Department!$A$2:$A$5,0))</f>
        <v>Nursing</v>
      </c>
      <c r="F59" s="10" t="s">
        <v>72</v>
      </c>
      <c r="G59" s="10" t="s">
        <v>284</v>
      </c>
      <c r="H59" s="10" t="s">
        <v>58</v>
      </c>
      <c r="I59" s="11" t="n">
        <v>45488</v>
      </c>
      <c r="J59" s="11" t="n">
        <v>45499</v>
      </c>
      <c r="K59" s="12" t="s">
        <v>285</v>
      </c>
      <c r="L59" s="10" t="n">
        <v>8</v>
      </c>
      <c r="M59" s="10" t="n">
        <v>8</v>
      </c>
      <c r="N59" s="12" t="s">
        <v>150</v>
      </c>
      <c r="O59" s="13" t="n">
        <v>0.229166666666667</v>
      </c>
      <c r="P59" s="13" t="n">
        <v>0.8125</v>
      </c>
      <c r="Q59" s="10" t="s">
        <v>76</v>
      </c>
      <c r="R59" s="12" t="s">
        <v>77</v>
      </c>
      <c r="S59" s="10" t="n">
        <v>13</v>
      </c>
      <c r="T59" s="10" t="s">
        <v>78</v>
      </c>
      <c r="U59" s="12" t="s">
        <v>286</v>
      </c>
      <c r="V59" s="10" t="n">
        <f aca="false">COUNTIF(Bridge_Trip_Site!$A$2:$A$2000,A59)</f>
        <v>5</v>
      </c>
      <c r="W59" s="14" t="n">
        <v>1600</v>
      </c>
      <c r="X59" s="14" t="n">
        <f aca="false">IF(AND(ISNUMBER(M59),ISNUMBER(W59)),M59*W59,"")</f>
        <v>12800</v>
      </c>
      <c r="Y59" s="10" t="n">
        <v>60</v>
      </c>
      <c r="Z59" s="12" t="s">
        <v>65</v>
      </c>
      <c r="AA59" s="12"/>
      <c r="AB59" s="12"/>
    </row>
    <row r="60" customFormat="false" ht="23.25" hidden="false" customHeight="true" outlineLevel="0" collapsed="false">
      <c r="A60" s="10" t="s">
        <v>287</v>
      </c>
      <c r="B60" s="10" t="s">
        <v>54</v>
      </c>
      <c r="C60" s="10" t="s">
        <v>55</v>
      </c>
      <c r="D60" s="10" t="n">
        <v>1</v>
      </c>
      <c r="E60" s="10" t="str">
        <f aca="false">INDEX(Dim_Department!$B$2:$B$5,MATCH(D60,Dim_Department!$A$2:$A$5,0))</f>
        <v>Nursing</v>
      </c>
      <c r="F60" s="10" t="s">
        <v>72</v>
      </c>
      <c r="G60" s="10" t="s">
        <v>284</v>
      </c>
      <c r="H60" s="10" t="s">
        <v>281</v>
      </c>
      <c r="I60" s="11" t="n">
        <v>45488</v>
      </c>
      <c r="J60" s="11" t="n">
        <v>45499</v>
      </c>
      <c r="K60" s="12" t="s">
        <v>285</v>
      </c>
      <c r="L60" s="10" t="n">
        <v>8</v>
      </c>
      <c r="M60" s="10" t="n">
        <v>8</v>
      </c>
      <c r="N60" s="12" t="s">
        <v>150</v>
      </c>
      <c r="O60" s="13" t="n">
        <v>0.229166666666667</v>
      </c>
      <c r="P60" s="13" t="n">
        <v>0.8125</v>
      </c>
      <c r="Q60" s="10" t="s">
        <v>76</v>
      </c>
      <c r="R60" s="12" t="s">
        <v>77</v>
      </c>
      <c r="S60" s="10" t="n">
        <v>13</v>
      </c>
      <c r="T60" s="10" t="s">
        <v>78</v>
      </c>
      <c r="U60" s="12" t="s">
        <v>288</v>
      </c>
      <c r="V60" s="10" t="n">
        <f aca="false">COUNTIF(Bridge_Trip_Site!$A$2:$A$2000,A60)</f>
        <v>5</v>
      </c>
      <c r="W60" s="14" t="n">
        <v>1600</v>
      </c>
      <c r="X60" s="14" t="n">
        <f aca="false">IF(AND(ISNUMBER(M60),ISNUMBER(W60)),M60*W60,"")</f>
        <v>12800</v>
      </c>
      <c r="Y60" s="10" t="n">
        <v>61</v>
      </c>
      <c r="Z60" s="12" t="s">
        <v>65</v>
      </c>
      <c r="AA60" s="12"/>
      <c r="AB60" s="12"/>
    </row>
    <row r="61" customFormat="false" ht="23.25" hidden="false" customHeight="true" outlineLevel="0" collapsed="false">
      <c r="A61" s="10" t="s">
        <v>289</v>
      </c>
      <c r="B61" s="10" t="s">
        <v>54</v>
      </c>
      <c r="C61" s="10" t="s">
        <v>55</v>
      </c>
      <c r="D61" s="10" t="n">
        <v>1</v>
      </c>
      <c r="E61" s="10" t="str">
        <f aca="false">INDEX(Dim_Department!$B$2:$B$5,MATCH(D61,Dim_Department!$A$2:$A$5,0))</f>
        <v>Nursing</v>
      </c>
      <c r="F61" s="10" t="s">
        <v>72</v>
      </c>
      <c r="G61" s="10" t="s">
        <v>284</v>
      </c>
      <c r="H61" s="10" t="s">
        <v>281</v>
      </c>
      <c r="I61" s="11" t="n">
        <v>45488</v>
      </c>
      <c r="J61" s="11" t="n">
        <v>45499</v>
      </c>
      <c r="K61" s="12" t="s">
        <v>269</v>
      </c>
      <c r="L61" s="10" t="n">
        <v>10</v>
      </c>
      <c r="M61" s="10" t="n">
        <v>10</v>
      </c>
      <c r="N61" s="12" t="s">
        <v>138</v>
      </c>
      <c r="O61" s="13" t="n">
        <v>0.229166666666667</v>
      </c>
      <c r="P61" s="13" t="n">
        <v>0.8125</v>
      </c>
      <c r="Q61" s="10" t="s">
        <v>76</v>
      </c>
      <c r="R61" s="12" t="s">
        <v>77</v>
      </c>
      <c r="S61" s="10" t="n">
        <v>13</v>
      </c>
      <c r="T61" s="10" t="s">
        <v>78</v>
      </c>
      <c r="U61" s="12" t="s">
        <v>290</v>
      </c>
      <c r="V61" s="10" t="n">
        <f aca="false">COUNTIF(Bridge_Trip_Site!$A$2:$A$2000,A61)</f>
        <v>6</v>
      </c>
      <c r="W61" s="14" t="n">
        <v>2200</v>
      </c>
      <c r="X61" s="14" t="n">
        <f aca="false">IF(AND(ISNUMBER(M61),ISNUMBER(W61)),M61*W61,"")</f>
        <v>22000</v>
      </c>
      <c r="Y61" s="10" t="n">
        <v>62</v>
      </c>
      <c r="Z61" s="12" t="s">
        <v>65</v>
      </c>
      <c r="AA61" s="12"/>
      <c r="AB61" s="12"/>
    </row>
    <row r="62" customFormat="false" ht="23.25" hidden="false" customHeight="true" outlineLevel="0" collapsed="false">
      <c r="A62" s="10" t="s">
        <v>291</v>
      </c>
      <c r="B62" s="10" t="s">
        <v>54</v>
      </c>
      <c r="C62" s="10" t="s">
        <v>55</v>
      </c>
      <c r="D62" s="10" t="n">
        <v>1</v>
      </c>
      <c r="E62" s="10" t="str">
        <f aca="false">INDEX(Dim_Department!$B$2:$B$5,MATCH(D62,Dim_Department!$A$2:$A$5,0))</f>
        <v>Nursing</v>
      </c>
      <c r="F62" s="10" t="s">
        <v>72</v>
      </c>
      <c r="G62" s="10" t="s">
        <v>292</v>
      </c>
      <c r="H62" s="10" t="s">
        <v>58</v>
      </c>
      <c r="I62" s="11" t="n">
        <v>45488</v>
      </c>
      <c r="J62" s="11" t="n">
        <v>45499</v>
      </c>
      <c r="K62" s="12" t="s">
        <v>269</v>
      </c>
      <c r="L62" s="10" t="n">
        <v>10</v>
      </c>
      <c r="M62" s="10" t="n">
        <v>10</v>
      </c>
      <c r="N62" s="12" t="s">
        <v>138</v>
      </c>
      <c r="O62" s="13" t="n">
        <v>0.229166666666667</v>
      </c>
      <c r="P62" s="13" t="n">
        <v>0.8125</v>
      </c>
      <c r="Q62" s="10" t="s">
        <v>76</v>
      </c>
      <c r="R62" s="12" t="s">
        <v>77</v>
      </c>
      <c r="S62" s="10" t="n">
        <v>13</v>
      </c>
      <c r="T62" s="10" t="s">
        <v>78</v>
      </c>
      <c r="U62" s="12" t="s">
        <v>293</v>
      </c>
      <c r="V62" s="10" t="n">
        <f aca="false">COUNTIF(Bridge_Trip_Site!$A$2:$A$2000,A62)</f>
        <v>5</v>
      </c>
      <c r="W62" s="14" t="n">
        <v>2200</v>
      </c>
      <c r="X62" s="14" t="n">
        <f aca="false">IF(AND(ISNUMBER(M62),ISNUMBER(W62)),M62*W62,"")</f>
        <v>22000</v>
      </c>
      <c r="Y62" s="10" t="n">
        <v>63</v>
      </c>
      <c r="Z62" s="12" t="s">
        <v>65</v>
      </c>
      <c r="AA62" s="12"/>
      <c r="AB62" s="12"/>
    </row>
    <row r="63" customFormat="false" ht="23.25" hidden="false" customHeight="true" outlineLevel="0" collapsed="false">
      <c r="A63" s="10" t="s">
        <v>294</v>
      </c>
      <c r="B63" s="10" t="s">
        <v>54</v>
      </c>
      <c r="C63" s="10" t="s">
        <v>55</v>
      </c>
      <c r="D63" s="10" t="n">
        <v>1</v>
      </c>
      <c r="E63" s="10" t="str">
        <f aca="false">INDEX(Dim_Department!$B$2:$B$5,MATCH(D63,Dim_Department!$A$2:$A$5,0))</f>
        <v>Nursing</v>
      </c>
      <c r="F63" s="10" t="s">
        <v>72</v>
      </c>
      <c r="G63" s="10" t="s">
        <v>292</v>
      </c>
      <c r="H63" s="10" t="s">
        <v>281</v>
      </c>
      <c r="I63" s="11" t="n">
        <v>45488</v>
      </c>
      <c r="J63" s="11" t="n">
        <v>45506</v>
      </c>
      <c r="K63" s="12" t="s">
        <v>295</v>
      </c>
      <c r="L63" s="10" t="n">
        <v>15</v>
      </c>
      <c r="M63" s="10" t="n">
        <v>15</v>
      </c>
      <c r="N63" s="12" t="s">
        <v>296</v>
      </c>
      <c r="O63" s="13"/>
      <c r="P63" s="13"/>
      <c r="Q63" s="10" t="s">
        <v>76</v>
      </c>
      <c r="R63" s="12" t="s">
        <v>297</v>
      </c>
      <c r="S63" s="10" t="n">
        <v>13</v>
      </c>
      <c r="T63" s="10" t="s">
        <v>78</v>
      </c>
      <c r="U63" s="12" t="s">
        <v>298</v>
      </c>
      <c r="V63" s="10" t="n">
        <f aca="false">COUNTIF(Bridge_Trip_Site!$A$2:$A$2000,A63)</f>
        <v>3</v>
      </c>
      <c r="W63" s="14" t="n">
        <v>1200</v>
      </c>
      <c r="X63" s="14" t="n">
        <f aca="false">IF(AND(ISNUMBER(M63),ISNUMBER(W63)),M63*W63,"")</f>
        <v>18000</v>
      </c>
      <c r="Y63" s="10" t="n">
        <v>64</v>
      </c>
      <c r="Z63" s="12" t="s">
        <v>65</v>
      </c>
      <c r="AA63" s="12"/>
      <c r="AB63" s="12"/>
    </row>
    <row r="64" customFormat="false" ht="15" hidden="false" customHeight="true" outlineLevel="0" collapsed="false">
      <c r="A64" s="10" t="s">
        <v>299</v>
      </c>
      <c r="B64" s="10" t="s">
        <v>54</v>
      </c>
      <c r="C64" s="10" t="s">
        <v>55</v>
      </c>
      <c r="D64" s="10" t="n">
        <v>1</v>
      </c>
      <c r="E64" s="10" t="str">
        <f aca="false">INDEX(Dim_Department!$B$2:$B$5,MATCH(D64,Dim_Department!$A$2:$A$5,0))</f>
        <v>Nursing</v>
      </c>
      <c r="F64" s="10" t="s">
        <v>72</v>
      </c>
      <c r="G64" s="10" t="s">
        <v>292</v>
      </c>
      <c r="H64" s="10" t="s">
        <v>281</v>
      </c>
      <c r="I64" s="11" t="n">
        <v>45488</v>
      </c>
      <c r="J64" s="11" t="n">
        <v>45499</v>
      </c>
      <c r="K64" s="12" t="s">
        <v>285</v>
      </c>
      <c r="L64" s="10" t="n">
        <v>8</v>
      </c>
      <c r="M64" s="10" t="n">
        <v>8</v>
      </c>
      <c r="N64" s="12" t="s">
        <v>150</v>
      </c>
      <c r="O64" s="13" t="n">
        <v>0.229166666666667</v>
      </c>
      <c r="P64" s="13" t="n">
        <v>0.8125</v>
      </c>
      <c r="Q64" s="10" t="s">
        <v>76</v>
      </c>
      <c r="R64" s="12" t="s">
        <v>77</v>
      </c>
      <c r="S64" s="10" t="n">
        <v>13</v>
      </c>
      <c r="T64" s="10" t="s">
        <v>78</v>
      </c>
      <c r="U64" s="12" t="s">
        <v>300</v>
      </c>
      <c r="V64" s="10" t="n">
        <f aca="false">COUNTIF(Bridge_Trip_Site!$A$2:$A$2000,A64)</f>
        <v>1</v>
      </c>
      <c r="W64" s="14" t="n">
        <v>3400</v>
      </c>
      <c r="X64" s="14" t="n">
        <f aca="false">IF(AND(ISNUMBER(M64),ISNUMBER(W64)),M64*W64,"")</f>
        <v>27200</v>
      </c>
      <c r="Y64" s="10" t="n">
        <v>65</v>
      </c>
      <c r="Z64" s="12" t="s">
        <v>65</v>
      </c>
      <c r="AA64" s="12"/>
      <c r="AB64" s="12"/>
    </row>
    <row r="65" customFormat="false" ht="23.25" hidden="false" customHeight="true" outlineLevel="0" collapsed="false">
      <c r="A65" s="10" t="s">
        <v>301</v>
      </c>
      <c r="B65" s="10" t="s">
        <v>54</v>
      </c>
      <c r="C65" s="10" t="s">
        <v>55</v>
      </c>
      <c r="D65" s="10" t="n">
        <v>2</v>
      </c>
      <c r="E65" s="10" t="str">
        <f aca="false">INDEX(Dim_Department!$B$2:$B$5,MATCH(D65,Dim_Department!$A$2:$A$5,0))</f>
        <v>DEMS</v>
      </c>
      <c r="F65" s="10" t="s">
        <v>116</v>
      </c>
      <c r="G65" s="10" t="s">
        <v>302</v>
      </c>
      <c r="H65" s="10" t="s">
        <v>58</v>
      </c>
      <c r="I65" s="11" t="n">
        <v>45539</v>
      </c>
      <c r="J65" s="11" t="n">
        <v>45595</v>
      </c>
      <c r="K65" s="12" t="s">
        <v>303</v>
      </c>
      <c r="L65" s="10" t="n">
        <v>29</v>
      </c>
      <c r="M65" s="10" t="n">
        <v>29</v>
      </c>
      <c r="N65" s="12" t="s">
        <v>304</v>
      </c>
      <c r="O65" s="13" t="n">
        <v>0.25</v>
      </c>
      <c r="P65" s="13" t="n">
        <v>0.75</v>
      </c>
      <c r="Q65" s="10" t="s">
        <v>76</v>
      </c>
      <c r="R65" s="12" t="s">
        <v>305</v>
      </c>
      <c r="S65" s="10" t="n">
        <v>7</v>
      </c>
      <c r="T65" s="10" t="s">
        <v>78</v>
      </c>
      <c r="U65" s="12" t="s">
        <v>306</v>
      </c>
      <c r="V65" s="10" t="n">
        <f aca="false">COUNTIF(Bridge_Trip_Site!$A$2:$A$2000,A65)</f>
        <v>2</v>
      </c>
      <c r="W65" s="14" t="n">
        <v>1400</v>
      </c>
      <c r="X65" s="14" t="n">
        <f aca="false">IF(AND(ISNUMBER(M65),ISNUMBER(W65)),M65*W65,"")</f>
        <v>40600</v>
      </c>
      <c r="Y65" s="10" t="n">
        <v>66</v>
      </c>
      <c r="Z65" s="12" t="s">
        <v>65</v>
      </c>
      <c r="AA65" s="12"/>
      <c r="AB65" s="12"/>
    </row>
    <row r="66" customFormat="false" ht="23.25" hidden="false" customHeight="true" outlineLevel="0" collapsed="false">
      <c r="A66" s="10" t="s">
        <v>307</v>
      </c>
      <c r="B66" s="10" t="s">
        <v>54</v>
      </c>
      <c r="C66" s="10" t="s">
        <v>55</v>
      </c>
      <c r="D66" s="10" t="n">
        <v>2</v>
      </c>
      <c r="E66" s="10" t="str">
        <f aca="false">INDEX(Dim_Department!$B$2:$B$5,MATCH(D66,Dim_Department!$A$2:$A$5,0))</f>
        <v>DEMS</v>
      </c>
      <c r="F66" s="10" t="s">
        <v>116</v>
      </c>
      <c r="G66" s="10" t="s">
        <v>302</v>
      </c>
      <c r="H66" s="10" t="s">
        <v>281</v>
      </c>
      <c r="I66" s="11" t="n">
        <v>45540</v>
      </c>
      <c r="J66" s="11" t="n">
        <v>45591</v>
      </c>
      <c r="K66" s="12" t="s">
        <v>308</v>
      </c>
      <c r="L66" s="10" t="n">
        <v>21</v>
      </c>
      <c r="M66" s="10" t="n">
        <v>21</v>
      </c>
      <c r="N66" s="12" t="s">
        <v>309</v>
      </c>
      <c r="O66" s="13" t="n">
        <v>0.25</v>
      </c>
      <c r="P66" s="13" t="n">
        <v>0.75</v>
      </c>
      <c r="Q66" s="10" t="s">
        <v>76</v>
      </c>
      <c r="R66" s="12" t="s">
        <v>305</v>
      </c>
      <c r="S66" s="10" t="n">
        <v>7</v>
      </c>
      <c r="T66" s="10" t="s">
        <v>78</v>
      </c>
      <c r="U66" s="12" t="s">
        <v>310</v>
      </c>
      <c r="V66" s="10" t="n">
        <f aca="false">COUNTIF(Bridge_Trip_Site!$A$2:$A$2000,A66)</f>
        <v>4</v>
      </c>
      <c r="W66" s="14" t="n">
        <v>1800</v>
      </c>
      <c r="X66" s="14" t="n">
        <f aca="false">IF(AND(ISNUMBER(M66),ISNUMBER(W66)),M66*W66,"")</f>
        <v>37800</v>
      </c>
      <c r="Y66" s="10" t="n">
        <v>67</v>
      </c>
      <c r="Z66" s="12" t="s">
        <v>65</v>
      </c>
      <c r="AA66" s="12"/>
      <c r="AB66" s="12"/>
    </row>
    <row r="67" customFormat="false" ht="34.5" hidden="false" customHeight="true" outlineLevel="0" collapsed="false">
      <c r="A67" s="10" t="s">
        <v>311</v>
      </c>
      <c r="B67" s="10" t="s">
        <v>54</v>
      </c>
      <c r="C67" s="10" t="s">
        <v>55</v>
      </c>
      <c r="D67" s="10" t="n">
        <v>2</v>
      </c>
      <c r="E67" s="10" t="str">
        <f aca="false">INDEX(Dim_Department!$B$2:$B$5,MATCH(D67,Dim_Department!$A$2:$A$5,0))</f>
        <v>DEMS</v>
      </c>
      <c r="F67" s="10" t="s">
        <v>116</v>
      </c>
      <c r="G67" s="10" t="s">
        <v>302</v>
      </c>
      <c r="H67" s="10" t="s">
        <v>281</v>
      </c>
      <c r="I67" s="11" t="n">
        <v>45536</v>
      </c>
      <c r="J67" s="11" t="n">
        <v>45591</v>
      </c>
      <c r="K67" s="12" t="s">
        <v>312</v>
      </c>
      <c r="L67" s="10" t="n">
        <v>24</v>
      </c>
      <c r="M67" s="10" t="n">
        <v>24</v>
      </c>
      <c r="N67" s="12" t="s">
        <v>313</v>
      </c>
      <c r="O67" s="13" t="n">
        <v>0.25</v>
      </c>
      <c r="P67" s="13" t="n">
        <v>0.75</v>
      </c>
      <c r="Q67" s="10" t="s">
        <v>76</v>
      </c>
      <c r="R67" s="12" t="s">
        <v>305</v>
      </c>
      <c r="S67" s="10" t="n">
        <v>7</v>
      </c>
      <c r="T67" s="10" t="s">
        <v>78</v>
      </c>
      <c r="U67" s="12" t="s">
        <v>314</v>
      </c>
      <c r="V67" s="10" t="n">
        <f aca="false">COUNTIF(Bridge_Trip_Site!$A$2:$A$2000,A67)</f>
        <v>1</v>
      </c>
      <c r="W67" s="14" t="n">
        <v>850</v>
      </c>
      <c r="X67" s="14" t="n">
        <f aca="false">IF(AND(ISNUMBER(M67),ISNUMBER(W67)),M67*W67,"")</f>
        <v>20400</v>
      </c>
      <c r="Y67" s="10" t="n">
        <v>68</v>
      </c>
      <c r="Z67" s="12" t="s">
        <v>65</v>
      </c>
      <c r="AA67" s="12"/>
      <c r="AB67" s="12"/>
    </row>
    <row r="68" customFormat="false" ht="23.25" hidden="false" customHeight="true" outlineLevel="0" collapsed="false">
      <c r="A68" s="10" t="s">
        <v>315</v>
      </c>
      <c r="B68" s="10" t="s">
        <v>54</v>
      </c>
      <c r="C68" s="10" t="s">
        <v>55</v>
      </c>
      <c r="D68" s="10" t="n">
        <v>2</v>
      </c>
      <c r="E68" s="10" t="str">
        <f aca="false">INDEX(Dim_Department!$B$2:$B$5,MATCH(D68,Dim_Department!$A$2:$A$5,0))</f>
        <v>DEMS</v>
      </c>
      <c r="F68" s="10" t="s">
        <v>116</v>
      </c>
      <c r="G68" s="10" t="s">
        <v>302</v>
      </c>
      <c r="H68" s="10" t="s">
        <v>281</v>
      </c>
      <c r="I68" s="11" t="n">
        <v>45536</v>
      </c>
      <c r="J68" s="11" t="n">
        <v>45595</v>
      </c>
      <c r="K68" s="12" t="s">
        <v>316</v>
      </c>
      <c r="L68" s="10" t="n">
        <v>31</v>
      </c>
      <c r="M68" s="10" t="n">
        <v>31</v>
      </c>
      <c r="N68" s="12" t="s">
        <v>317</v>
      </c>
      <c r="O68" s="13" t="n">
        <v>0.25</v>
      </c>
      <c r="P68" s="13" t="n">
        <v>0.75</v>
      </c>
      <c r="Q68" s="10" t="s">
        <v>76</v>
      </c>
      <c r="R68" s="12" t="s">
        <v>305</v>
      </c>
      <c r="S68" s="10" t="n">
        <v>7</v>
      </c>
      <c r="T68" s="10" t="s">
        <v>78</v>
      </c>
      <c r="U68" s="12" t="s">
        <v>318</v>
      </c>
      <c r="V68" s="10" t="n">
        <f aca="false">COUNTIF(Bridge_Trip_Site!$A$2:$A$2000,A68)</f>
        <v>2</v>
      </c>
      <c r="W68" s="14" t="n">
        <v>1400</v>
      </c>
      <c r="X68" s="14" t="n">
        <f aca="false">IF(AND(ISNUMBER(M68),ISNUMBER(W68)),M68*W68,"")</f>
        <v>43400</v>
      </c>
      <c r="Y68" s="10" t="n">
        <v>69</v>
      </c>
      <c r="Z68" s="12" t="s">
        <v>65</v>
      </c>
      <c r="AA68" s="12"/>
      <c r="AB68" s="12"/>
    </row>
    <row r="69" customFormat="false" ht="23.25" hidden="false" customHeight="true" outlineLevel="0" collapsed="false">
      <c r="A69" s="10" t="s">
        <v>319</v>
      </c>
      <c r="B69" s="10" t="s">
        <v>54</v>
      </c>
      <c r="C69" s="10" t="s">
        <v>55</v>
      </c>
      <c r="D69" s="10" t="n">
        <v>2</v>
      </c>
      <c r="E69" s="10" t="str">
        <f aca="false">INDEX(Dim_Department!$B$2:$B$5,MATCH(D69,Dim_Department!$A$2:$A$5,0))</f>
        <v>DEMS</v>
      </c>
      <c r="F69" s="10" t="s">
        <v>116</v>
      </c>
      <c r="G69" s="10" t="s">
        <v>302</v>
      </c>
      <c r="H69" s="10" t="s">
        <v>281</v>
      </c>
      <c r="I69" s="11" t="n">
        <v>45540</v>
      </c>
      <c r="J69" s="11" t="n">
        <v>45584</v>
      </c>
      <c r="K69" s="12" t="s">
        <v>320</v>
      </c>
      <c r="L69" s="10" t="n">
        <v>16</v>
      </c>
      <c r="M69" s="10" t="n">
        <v>17</v>
      </c>
      <c r="N69" s="12" t="s">
        <v>321</v>
      </c>
      <c r="O69" s="13" t="n">
        <v>0.25</v>
      </c>
      <c r="P69" s="13" t="n">
        <v>0.583333333333333</v>
      </c>
      <c r="Q69" s="10" t="s">
        <v>76</v>
      </c>
      <c r="R69" s="12" t="s">
        <v>322</v>
      </c>
      <c r="S69" s="10" t="n">
        <v>7</v>
      </c>
      <c r="T69" s="10" t="s">
        <v>78</v>
      </c>
      <c r="U69" s="12" t="s">
        <v>323</v>
      </c>
      <c r="V69" s="10" t="n">
        <f aca="false">COUNTIF(Bridge_Trip_Site!$A$2:$A$2000,A69)</f>
        <v>1</v>
      </c>
      <c r="W69" s="14" t="n">
        <v>850</v>
      </c>
      <c r="X69" s="14" t="n">
        <f aca="false">IF(AND(ISNUMBER(M69),ISNUMBER(W69)),M69*W69,"")</f>
        <v>14450</v>
      </c>
      <c r="Y69" s="10" t="n">
        <v>70</v>
      </c>
      <c r="Z69" s="12" t="s">
        <v>65</v>
      </c>
      <c r="AA69" s="12"/>
      <c r="AB69" s="12"/>
    </row>
    <row r="70" customFormat="false" ht="23.25" hidden="false" customHeight="true" outlineLevel="0" collapsed="false">
      <c r="A70" s="10" t="s">
        <v>324</v>
      </c>
      <c r="B70" s="10" t="s">
        <v>54</v>
      </c>
      <c r="C70" s="10" t="s">
        <v>55</v>
      </c>
      <c r="D70" s="10" t="n">
        <v>2</v>
      </c>
      <c r="E70" s="10" t="str">
        <f aca="false">INDEX(Dim_Department!$B$2:$B$5,MATCH(D70,Dim_Department!$A$2:$A$5,0))</f>
        <v>DEMS</v>
      </c>
      <c r="F70" s="10" t="s">
        <v>116</v>
      </c>
      <c r="G70" s="10" t="s">
        <v>302</v>
      </c>
      <c r="H70" s="10" t="s">
        <v>281</v>
      </c>
      <c r="I70" s="11" t="n">
        <v>45541</v>
      </c>
      <c r="J70" s="11" t="n">
        <v>45591</v>
      </c>
      <c r="K70" s="12" t="s">
        <v>325</v>
      </c>
      <c r="L70" s="10" t="n">
        <v>18</v>
      </c>
      <c r="M70" s="10" t="n">
        <v>17</v>
      </c>
      <c r="N70" s="12" t="s">
        <v>326</v>
      </c>
      <c r="O70" s="13" t="n">
        <v>0.25</v>
      </c>
      <c r="P70" s="13" t="n">
        <v>0.75</v>
      </c>
      <c r="Q70" s="10" t="s">
        <v>76</v>
      </c>
      <c r="R70" s="12" t="s">
        <v>305</v>
      </c>
      <c r="S70" s="10" t="n">
        <v>7</v>
      </c>
      <c r="T70" s="10" t="s">
        <v>78</v>
      </c>
      <c r="U70" s="12" t="s">
        <v>327</v>
      </c>
      <c r="V70" s="10" t="n">
        <f aca="false">COUNTIF(Bridge_Trip_Site!$A$2:$A$2000,A70)</f>
        <v>1</v>
      </c>
      <c r="W70" s="14" t="n">
        <v>850</v>
      </c>
      <c r="X70" s="14" t="n">
        <f aca="false">IF(AND(ISNUMBER(M70),ISNUMBER(W70)),M70*W70,"")</f>
        <v>14450</v>
      </c>
      <c r="Y70" s="10" t="n">
        <v>71</v>
      </c>
      <c r="Z70" s="12" t="s">
        <v>65</v>
      </c>
      <c r="AA70" s="12"/>
      <c r="AB70" s="12"/>
    </row>
    <row r="71" customFormat="false" ht="23.25" hidden="false" customHeight="true" outlineLevel="0" collapsed="false">
      <c r="A71" s="10" t="s">
        <v>328</v>
      </c>
      <c r="B71" s="10" t="s">
        <v>54</v>
      </c>
      <c r="C71" s="10" t="s">
        <v>55</v>
      </c>
      <c r="D71" s="10" t="n">
        <v>2</v>
      </c>
      <c r="E71" s="10" t="str">
        <f aca="false">INDEX(Dim_Department!$B$2:$B$5,MATCH(D71,Dim_Department!$A$2:$A$5,0))</f>
        <v>DEMS</v>
      </c>
      <c r="F71" s="10" t="s">
        <v>116</v>
      </c>
      <c r="G71" s="10" t="s">
        <v>329</v>
      </c>
      <c r="H71" s="10" t="s">
        <v>58</v>
      </c>
      <c r="I71" s="11" t="n">
        <v>45488</v>
      </c>
      <c r="J71" s="11" t="n">
        <v>45535</v>
      </c>
      <c r="K71" s="12" t="s">
        <v>330</v>
      </c>
      <c r="L71" s="10" t="n">
        <v>28</v>
      </c>
      <c r="M71" s="10" t="n">
        <v>26</v>
      </c>
      <c r="N71" s="12" t="s">
        <v>331</v>
      </c>
      <c r="O71" s="13" t="n">
        <v>0.25</v>
      </c>
      <c r="P71" s="13" t="n">
        <v>0.75</v>
      </c>
      <c r="Q71" s="10" t="s">
        <v>76</v>
      </c>
      <c r="R71" s="12" t="s">
        <v>305</v>
      </c>
      <c r="S71" s="10" t="n">
        <v>7</v>
      </c>
      <c r="T71" s="10" t="s">
        <v>78</v>
      </c>
      <c r="U71" s="12" t="s">
        <v>332</v>
      </c>
      <c r="V71" s="10" t="n">
        <f aca="false">COUNTIF(Bridge_Trip_Site!$A$2:$A$2000,A71)</f>
        <v>2</v>
      </c>
      <c r="W71" s="14" t="n">
        <v>1400</v>
      </c>
      <c r="X71" s="14" t="n">
        <f aca="false">IF(AND(ISNUMBER(M71),ISNUMBER(W71)),M71*W71,"")</f>
        <v>36400</v>
      </c>
      <c r="Y71" s="10" t="n">
        <v>72</v>
      </c>
      <c r="Z71" s="12" t="s">
        <v>65</v>
      </c>
      <c r="AA71" s="12"/>
      <c r="AB71" s="12"/>
    </row>
    <row r="72" customFormat="false" ht="23.25" hidden="false" customHeight="true" outlineLevel="0" collapsed="false">
      <c r="A72" s="10" t="s">
        <v>333</v>
      </c>
      <c r="B72" s="10" t="s">
        <v>54</v>
      </c>
      <c r="C72" s="10" t="s">
        <v>55</v>
      </c>
      <c r="D72" s="10" t="n">
        <v>2</v>
      </c>
      <c r="E72" s="10" t="str">
        <f aca="false">INDEX(Dim_Department!$B$2:$B$5,MATCH(D72,Dim_Department!$A$2:$A$5,0))</f>
        <v>DEMS</v>
      </c>
      <c r="F72" s="10" t="s">
        <v>116</v>
      </c>
      <c r="G72" s="10" t="s">
        <v>329</v>
      </c>
      <c r="H72" s="10" t="s">
        <v>281</v>
      </c>
      <c r="I72" s="11" t="n">
        <v>45492</v>
      </c>
      <c r="J72" s="11" t="n">
        <v>45535</v>
      </c>
      <c r="K72" s="12" t="s">
        <v>334</v>
      </c>
      <c r="L72" s="10" t="n">
        <v>20</v>
      </c>
      <c r="M72" s="10" t="n">
        <v>23</v>
      </c>
      <c r="N72" s="12" t="s">
        <v>335</v>
      </c>
      <c r="O72" s="13" t="n">
        <v>0.25</v>
      </c>
      <c r="P72" s="13" t="n">
        <v>0.75</v>
      </c>
      <c r="Q72" s="10" t="s">
        <v>76</v>
      </c>
      <c r="R72" s="12" t="s">
        <v>305</v>
      </c>
      <c r="S72" s="10" t="n">
        <v>7</v>
      </c>
      <c r="T72" s="10" t="s">
        <v>78</v>
      </c>
      <c r="U72" s="12" t="s">
        <v>336</v>
      </c>
      <c r="V72" s="10" t="n">
        <f aca="false">COUNTIF(Bridge_Trip_Site!$A$2:$A$2000,A72)</f>
        <v>4</v>
      </c>
      <c r="W72" s="14" t="n">
        <v>1800</v>
      </c>
      <c r="X72" s="14" t="n">
        <f aca="false">IF(AND(ISNUMBER(M72),ISNUMBER(W72)),M72*W72,"")</f>
        <v>41400</v>
      </c>
      <c r="Y72" s="10" t="n">
        <v>73</v>
      </c>
      <c r="Z72" s="12" t="s">
        <v>65</v>
      </c>
      <c r="AA72" s="12"/>
      <c r="AB72" s="12"/>
    </row>
    <row r="73" customFormat="false" ht="23.25" hidden="false" customHeight="true" outlineLevel="0" collapsed="false">
      <c r="A73" s="10" t="s">
        <v>337</v>
      </c>
      <c r="B73" s="10" t="s">
        <v>54</v>
      </c>
      <c r="C73" s="10" t="s">
        <v>55</v>
      </c>
      <c r="D73" s="10" t="n">
        <v>2</v>
      </c>
      <c r="E73" s="10" t="str">
        <f aca="false">INDEX(Dim_Department!$B$2:$B$5,MATCH(D73,Dim_Department!$A$2:$A$5,0))</f>
        <v>DEMS</v>
      </c>
      <c r="F73" s="10" t="s">
        <v>116</v>
      </c>
      <c r="G73" s="10" t="s">
        <v>329</v>
      </c>
      <c r="H73" s="10" t="s">
        <v>281</v>
      </c>
      <c r="I73" s="11" t="n">
        <v>45488</v>
      </c>
      <c r="J73" s="11" t="n">
        <v>45535</v>
      </c>
      <c r="K73" s="12" t="s">
        <v>338</v>
      </c>
      <c r="L73" s="10" t="n">
        <v>25</v>
      </c>
      <c r="M73" s="10" t="n">
        <v>23</v>
      </c>
      <c r="N73" s="12" t="s">
        <v>339</v>
      </c>
      <c r="O73" s="13" t="n">
        <v>0.25</v>
      </c>
      <c r="P73" s="13" t="n">
        <v>0.75</v>
      </c>
      <c r="Q73" s="10" t="s">
        <v>76</v>
      </c>
      <c r="R73" s="12" t="s">
        <v>305</v>
      </c>
      <c r="S73" s="10" t="n">
        <v>7</v>
      </c>
      <c r="T73" s="10" t="s">
        <v>78</v>
      </c>
      <c r="U73" s="12" t="s">
        <v>314</v>
      </c>
      <c r="V73" s="10" t="n">
        <f aca="false">COUNTIF(Bridge_Trip_Site!$A$2:$A$2000,A73)</f>
        <v>1</v>
      </c>
      <c r="W73" s="14" t="n">
        <v>850</v>
      </c>
      <c r="X73" s="14" t="n">
        <f aca="false">IF(AND(ISNUMBER(M73),ISNUMBER(W73)),M73*W73,"")</f>
        <v>19550</v>
      </c>
      <c r="Y73" s="10" t="n">
        <v>74</v>
      </c>
      <c r="Z73" s="12" t="s">
        <v>65</v>
      </c>
      <c r="AA73" s="12"/>
      <c r="AB73" s="12"/>
    </row>
    <row r="74" customFormat="false" ht="23.25" hidden="false" customHeight="true" outlineLevel="0" collapsed="false">
      <c r="A74" s="10" t="s">
        <v>340</v>
      </c>
      <c r="B74" s="10" t="s">
        <v>54</v>
      </c>
      <c r="C74" s="10" t="s">
        <v>55</v>
      </c>
      <c r="D74" s="10" t="n">
        <v>2</v>
      </c>
      <c r="E74" s="10" t="str">
        <f aca="false">INDEX(Dim_Department!$B$2:$B$5,MATCH(D74,Dim_Department!$A$2:$A$5,0))</f>
        <v>DEMS</v>
      </c>
      <c r="F74" s="10" t="s">
        <v>116</v>
      </c>
      <c r="G74" s="10" t="s">
        <v>329</v>
      </c>
      <c r="H74" s="10" t="s">
        <v>281</v>
      </c>
      <c r="I74" s="11" t="n">
        <v>45489</v>
      </c>
      <c r="J74" s="11" t="n">
        <v>45535</v>
      </c>
      <c r="K74" s="12" t="s">
        <v>341</v>
      </c>
      <c r="L74" s="10" t="n">
        <v>31</v>
      </c>
      <c r="M74" s="10" t="n">
        <v>31</v>
      </c>
      <c r="N74" s="12" t="s">
        <v>317</v>
      </c>
      <c r="O74" s="13" t="n">
        <v>0.25</v>
      </c>
      <c r="P74" s="13" t="n">
        <v>0.75</v>
      </c>
      <c r="Q74" s="10" t="s">
        <v>76</v>
      </c>
      <c r="R74" s="12" t="s">
        <v>305</v>
      </c>
      <c r="S74" s="10" t="n">
        <v>7</v>
      </c>
      <c r="T74" s="10" t="s">
        <v>78</v>
      </c>
      <c r="U74" s="12" t="s">
        <v>342</v>
      </c>
      <c r="V74" s="10" t="n">
        <f aca="false">COUNTIF(Bridge_Trip_Site!$A$2:$A$2000,A74)</f>
        <v>2</v>
      </c>
      <c r="W74" s="14" t="n">
        <v>1400</v>
      </c>
      <c r="X74" s="14" t="n">
        <f aca="false">IF(AND(ISNUMBER(M74),ISNUMBER(W74)),M74*W74,"")</f>
        <v>43400</v>
      </c>
      <c r="Y74" s="10" t="n">
        <v>75</v>
      </c>
      <c r="Z74" s="12" t="s">
        <v>65</v>
      </c>
      <c r="AA74" s="12"/>
      <c r="AB74" s="12"/>
    </row>
    <row r="75" customFormat="false" ht="23.25" hidden="false" customHeight="true" outlineLevel="0" collapsed="false">
      <c r="A75" s="10" t="s">
        <v>343</v>
      </c>
      <c r="B75" s="10" t="s">
        <v>54</v>
      </c>
      <c r="C75" s="10" t="s">
        <v>55</v>
      </c>
      <c r="D75" s="10" t="n">
        <v>2</v>
      </c>
      <c r="E75" s="10" t="str">
        <f aca="false">INDEX(Dim_Department!$B$2:$B$5,MATCH(D75,Dim_Department!$A$2:$A$5,0))</f>
        <v>DEMS</v>
      </c>
      <c r="F75" s="10" t="s">
        <v>116</v>
      </c>
      <c r="G75" s="10" t="s">
        <v>329</v>
      </c>
      <c r="H75" s="10" t="s">
        <v>281</v>
      </c>
      <c r="I75" s="11" t="n">
        <v>45489</v>
      </c>
      <c r="J75" s="11" t="n">
        <v>45534</v>
      </c>
      <c r="K75" s="12" t="s">
        <v>344</v>
      </c>
      <c r="L75" s="10" t="n">
        <v>13</v>
      </c>
      <c r="M75" s="10" t="n">
        <v>13</v>
      </c>
      <c r="N75" s="12" t="s">
        <v>345</v>
      </c>
      <c r="O75" s="13" t="n">
        <v>0.25</v>
      </c>
      <c r="P75" s="13" t="n">
        <v>0.583333333333333</v>
      </c>
      <c r="Q75" s="10" t="s">
        <v>76</v>
      </c>
      <c r="R75" s="12" t="s">
        <v>322</v>
      </c>
      <c r="S75" s="10" t="n">
        <v>7</v>
      </c>
      <c r="T75" s="10" t="s">
        <v>78</v>
      </c>
      <c r="U75" s="12" t="s">
        <v>323</v>
      </c>
      <c r="V75" s="10" t="n">
        <f aca="false">COUNTIF(Bridge_Trip_Site!$A$2:$A$2000,A75)</f>
        <v>1</v>
      </c>
      <c r="W75" s="14" t="n">
        <v>850</v>
      </c>
      <c r="X75" s="14" t="n">
        <f aca="false">IF(AND(ISNUMBER(M75),ISNUMBER(W75)),M75*W75,"")</f>
        <v>11050</v>
      </c>
      <c r="Y75" s="10" t="n">
        <v>76</v>
      </c>
      <c r="Z75" s="12" t="s">
        <v>65</v>
      </c>
      <c r="AA75" s="12"/>
      <c r="AB75" s="12"/>
    </row>
    <row r="76" customFormat="false" ht="23.25" hidden="false" customHeight="true" outlineLevel="0" collapsed="false">
      <c r="A76" s="10" t="s">
        <v>346</v>
      </c>
      <c r="B76" s="10" t="s">
        <v>54</v>
      </c>
      <c r="C76" s="10" t="s">
        <v>55</v>
      </c>
      <c r="D76" s="10" t="n">
        <v>2</v>
      </c>
      <c r="E76" s="10" t="str">
        <f aca="false">INDEX(Dim_Department!$B$2:$B$5,MATCH(D76,Dim_Department!$A$2:$A$5,0))</f>
        <v>DEMS</v>
      </c>
      <c r="F76" s="10" t="s">
        <v>116</v>
      </c>
      <c r="G76" s="10" t="s">
        <v>329</v>
      </c>
      <c r="H76" s="10" t="s">
        <v>281</v>
      </c>
      <c r="I76" s="11" t="n">
        <v>45492</v>
      </c>
      <c r="J76" s="11" t="n">
        <v>45535</v>
      </c>
      <c r="K76" s="12" t="s">
        <v>347</v>
      </c>
      <c r="L76" s="10" t="n">
        <v>23</v>
      </c>
      <c r="M76" s="10" t="n">
        <v>23</v>
      </c>
      <c r="N76" s="12" t="s">
        <v>348</v>
      </c>
      <c r="O76" s="13" t="n">
        <v>0.25</v>
      </c>
      <c r="P76" s="13" t="n">
        <v>0.75</v>
      </c>
      <c r="Q76" s="10" t="s">
        <v>76</v>
      </c>
      <c r="R76" s="12" t="s">
        <v>305</v>
      </c>
      <c r="S76" s="10" t="n">
        <v>7</v>
      </c>
      <c r="T76" s="10" t="s">
        <v>78</v>
      </c>
      <c r="U76" s="12" t="s">
        <v>327</v>
      </c>
      <c r="V76" s="10" t="n">
        <f aca="false">COUNTIF(Bridge_Trip_Site!$A$2:$A$2000,A76)</f>
        <v>1</v>
      </c>
      <c r="W76" s="14" t="n">
        <v>850</v>
      </c>
      <c r="X76" s="14" t="n">
        <f aca="false">IF(AND(ISNUMBER(M76),ISNUMBER(W76)),M76*W76,"")</f>
        <v>19550</v>
      </c>
      <c r="Y76" s="10" t="n">
        <v>77</v>
      </c>
      <c r="Z76" s="12" t="s">
        <v>65</v>
      </c>
      <c r="AA76" s="12"/>
      <c r="AB76" s="12"/>
    </row>
    <row r="77" customFormat="false" ht="23.25" hidden="false" customHeight="true" outlineLevel="0" collapsed="false">
      <c r="A77" s="10" t="s">
        <v>349</v>
      </c>
      <c r="B77" s="10" t="s">
        <v>54</v>
      </c>
      <c r="C77" s="10" t="s">
        <v>55</v>
      </c>
      <c r="D77" s="10" t="n">
        <v>1</v>
      </c>
      <c r="E77" s="10" t="str">
        <f aca="false">INDEX(Dim_Department!$B$2:$B$5,MATCH(D77,Dim_Department!$A$2:$A$5,0))</f>
        <v>Nursing</v>
      </c>
      <c r="F77" s="10" t="s">
        <v>72</v>
      </c>
      <c r="G77" s="10" t="s">
        <v>350</v>
      </c>
      <c r="H77" s="10" t="s">
        <v>58</v>
      </c>
      <c r="I77" s="11" t="n">
        <v>45376</v>
      </c>
      <c r="J77" s="11" t="n">
        <v>45380</v>
      </c>
      <c r="K77" s="12" t="s">
        <v>351</v>
      </c>
      <c r="L77" s="10" t="n">
        <v>5</v>
      </c>
      <c r="M77" s="10" t="n">
        <v>5</v>
      </c>
      <c r="N77" s="12" t="s">
        <v>352</v>
      </c>
      <c r="O77" s="13" t="n">
        <v>0.229166666666667</v>
      </c>
      <c r="P77" s="13" t="n">
        <v>0.8125</v>
      </c>
      <c r="Q77" s="10" t="s">
        <v>76</v>
      </c>
      <c r="R77" s="12" t="s">
        <v>77</v>
      </c>
      <c r="S77" s="10" t="n">
        <v>13</v>
      </c>
      <c r="T77" s="10" t="s">
        <v>78</v>
      </c>
      <c r="U77" s="12" t="s">
        <v>353</v>
      </c>
      <c r="V77" s="10" t="n">
        <f aca="false">COUNTIF(Bridge_Trip_Site!$A$2:$A$2000,A77)</f>
        <v>2</v>
      </c>
      <c r="W77" s="14" t="n">
        <v>980</v>
      </c>
      <c r="X77" s="14" t="n">
        <f aca="false">IF(AND(ISNUMBER(M77),ISNUMBER(W77)),M77*W77,"")</f>
        <v>4900</v>
      </c>
      <c r="Y77" s="10" t="n">
        <v>78</v>
      </c>
      <c r="Z77" s="12" t="s">
        <v>65</v>
      </c>
      <c r="AA77" s="12"/>
      <c r="AB77" s="12"/>
    </row>
    <row r="78" customFormat="false" ht="23.25" hidden="false" customHeight="true" outlineLevel="0" collapsed="false">
      <c r="A78" s="10" t="s">
        <v>354</v>
      </c>
      <c r="B78" s="10" t="s">
        <v>54</v>
      </c>
      <c r="C78" s="10" t="s">
        <v>55</v>
      </c>
      <c r="D78" s="10" t="n">
        <v>1</v>
      </c>
      <c r="E78" s="10" t="str">
        <f aca="false">INDEX(Dim_Department!$B$2:$B$5,MATCH(D78,Dim_Department!$A$2:$A$5,0))</f>
        <v>Nursing</v>
      </c>
      <c r="F78" s="10" t="s">
        <v>72</v>
      </c>
      <c r="G78" s="10" t="s">
        <v>350</v>
      </c>
      <c r="H78" s="10" t="s">
        <v>281</v>
      </c>
      <c r="I78" s="11" t="n">
        <v>45376</v>
      </c>
      <c r="J78" s="11" t="n">
        <v>45380</v>
      </c>
      <c r="K78" s="12" t="s">
        <v>351</v>
      </c>
      <c r="L78" s="10" t="n">
        <v>5</v>
      </c>
      <c r="M78" s="10" t="n">
        <v>5</v>
      </c>
      <c r="N78" s="12" t="s">
        <v>352</v>
      </c>
      <c r="O78" s="13" t="n">
        <v>0.229166666666667</v>
      </c>
      <c r="P78" s="13" t="n">
        <v>0.8125</v>
      </c>
      <c r="Q78" s="10" t="s">
        <v>76</v>
      </c>
      <c r="R78" s="12" t="s">
        <v>77</v>
      </c>
      <c r="S78" s="10" t="n">
        <v>13</v>
      </c>
      <c r="T78" s="10" t="s">
        <v>78</v>
      </c>
      <c r="U78" s="12" t="s">
        <v>355</v>
      </c>
      <c r="V78" s="10" t="n">
        <f aca="false">COUNTIF(Bridge_Trip_Site!$A$2:$A$2000,A78)</f>
        <v>2</v>
      </c>
      <c r="W78" s="14" t="n">
        <v>1200</v>
      </c>
      <c r="X78" s="14" t="n">
        <f aca="false">IF(AND(ISNUMBER(M78),ISNUMBER(W78)),M78*W78,"")</f>
        <v>6000</v>
      </c>
      <c r="Y78" s="10" t="n">
        <v>79</v>
      </c>
      <c r="Z78" s="12" t="s">
        <v>65</v>
      </c>
      <c r="AA78" s="12"/>
      <c r="AB78" s="12"/>
    </row>
    <row r="79" customFormat="false" ht="23.25" hidden="false" customHeight="true" outlineLevel="0" collapsed="false">
      <c r="A79" s="10" t="s">
        <v>356</v>
      </c>
      <c r="B79" s="10" t="s">
        <v>54</v>
      </c>
      <c r="C79" s="10" t="s">
        <v>55</v>
      </c>
      <c r="D79" s="10" t="n">
        <v>1</v>
      </c>
      <c r="E79" s="10" t="str">
        <f aca="false">INDEX(Dim_Department!$B$2:$B$5,MATCH(D79,Dim_Department!$A$2:$A$5,0))</f>
        <v>Nursing</v>
      </c>
      <c r="F79" s="10" t="s">
        <v>72</v>
      </c>
      <c r="G79" s="10" t="s">
        <v>350</v>
      </c>
      <c r="H79" s="10" t="s">
        <v>281</v>
      </c>
      <c r="I79" s="11" t="n">
        <v>45376</v>
      </c>
      <c r="J79" s="11" t="n">
        <v>45380</v>
      </c>
      <c r="K79" s="12" t="s">
        <v>351</v>
      </c>
      <c r="L79" s="10" t="n">
        <v>5</v>
      </c>
      <c r="M79" s="10" t="n">
        <v>5</v>
      </c>
      <c r="N79" s="12" t="s">
        <v>352</v>
      </c>
      <c r="O79" s="13" t="n">
        <v>0.229166666666667</v>
      </c>
      <c r="P79" s="13" t="n">
        <v>0.8125</v>
      </c>
      <c r="Q79" s="10" t="s">
        <v>76</v>
      </c>
      <c r="R79" s="12" t="s">
        <v>77</v>
      </c>
      <c r="S79" s="10" t="n">
        <v>13</v>
      </c>
      <c r="T79" s="10" t="s">
        <v>78</v>
      </c>
      <c r="U79" s="12" t="s">
        <v>300</v>
      </c>
      <c r="V79" s="10" t="n">
        <f aca="false">COUNTIF(Bridge_Trip_Site!$A$2:$A$2000,A79)</f>
        <v>1</v>
      </c>
      <c r="W79" s="14" t="n">
        <v>3400</v>
      </c>
      <c r="X79" s="14" t="n">
        <f aca="false">IF(AND(ISNUMBER(M79),ISNUMBER(W79)),M79*W79,"")</f>
        <v>17000</v>
      </c>
      <c r="Y79" s="10" t="n">
        <v>80</v>
      </c>
      <c r="Z79" s="12" t="s">
        <v>65</v>
      </c>
      <c r="AA79" s="12"/>
      <c r="AB79" s="12"/>
    </row>
    <row r="80" customFormat="false" ht="23.25" hidden="false" customHeight="true" outlineLevel="0" collapsed="false">
      <c r="A80" s="10" t="s">
        <v>357</v>
      </c>
      <c r="B80" s="10" t="s">
        <v>54</v>
      </c>
      <c r="C80" s="10" t="s">
        <v>55</v>
      </c>
      <c r="D80" s="10" t="n">
        <v>1</v>
      </c>
      <c r="E80" s="10" t="str">
        <f aca="false">INDEX(Dim_Department!$B$2:$B$5,MATCH(D80,Dim_Department!$A$2:$A$5,0))</f>
        <v>Nursing</v>
      </c>
      <c r="F80" s="10" t="s">
        <v>56</v>
      </c>
      <c r="G80" s="10" t="s">
        <v>350</v>
      </c>
      <c r="H80" s="10" t="s">
        <v>281</v>
      </c>
      <c r="I80" s="11" t="n">
        <v>45355</v>
      </c>
      <c r="J80" s="11" t="n">
        <v>45366</v>
      </c>
      <c r="K80" s="12" t="s">
        <v>358</v>
      </c>
      <c r="L80" s="10" t="n">
        <v>10</v>
      </c>
      <c r="M80" s="10" t="n">
        <v>10</v>
      </c>
      <c r="N80" s="12" t="s">
        <v>138</v>
      </c>
      <c r="O80" s="13" t="n">
        <v>0.229166666666667</v>
      </c>
      <c r="P80" s="13" t="n">
        <v>0.6875</v>
      </c>
      <c r="Q80" s="10" t="s">
        <v>76</v>
      </c>
      <c r="R80" s="12" t="s">
        <v>83</v>
      </c>
      <c r="S80" s="10" t="n">
        <v>10</v>
      </c>
      <c r="T80" s="10" t="s">
        <v>78</v>
      </c>
      <c r="U80" s="12" t="s">
        <v>359</v>
      </c>
      <c r="V80" s="10" t="n">
        <f aca="false">COUNTIF(Bridge_Trip_Site!$A$2:$A$2000,A80)</f>
        <v>6</v>
      </c>
      <c r="W80" s="14" t="n">
        <v>1600</v>
      </c>
      <c r="X80" s="14" t="n">
        <f aca="false">IF(AND(ISNUMBER(M80),ISNUMBER(W80)),M80*W80,"")</f>
        <v>16000</v>
      </c>
      <c r="Y80" s="10" t="n">
        <v>81</v>
      </c>
      <c r="Z80" s="12" t="s">
        <v>65</v>
      </c>
      <c r="AA80" s="12"/>
      <c r="AB80" s="12"/>
    </row>
    <row r="81" customFormat="false" ht="23.25" hidden="false" customHeight="true" outlineLevel="0" collapsed="false">
      <c r="A81" s="10" t="s">
        <v>360</v>
      </c>
      <c r="B81" s="10" t="s">
        <v>54</v>
      </c>
      <c r="C81" s="10" t="s">
        <v>55</v>
      </c>
      <c r="D81" s="10" t="n">
        <v>1</v>
      </c>
      <c r="E81" s="10" t="str">
        <f aca="false">INDEX(Dim_Department!$B$2:$B$5,MATCH(D81,Dim_Department!$A$2:$A$5,0))</f>
        <v>Nursing</v>
      </c>
      <c r="F81" s="10" t="s">
        <v>56</v>
      </c>
      <c r="G81" s="10" t="s">
        <v>350</v>
      </c>
      <c r="H81" s="10" t="s">
        <v>281</v>
      </c>
      <c r="I81" s="11" t="n">
        <v>45355</v>
      </c>
      <c r="J81" s="11" t="n">
        <v>45366</v>
      </c>
      <c r="K81" s="12" t="s">
        <v>358</v>
      </c>
      <c r="L81" s="10" t="n">
        <v>10</v>
      </c>
      <c r="M81" s="10" t="n">
        <v>10</v>
      </c>
      <c r="N81" s="12" t="s">
        <v>138</v>
      </c>
      <c r="O81" s="13" t="n">
        <v>0.229166666666667</v>
      </c>
      <c r="P81" s="13" t="n">
        <v>0.6875</v>
      </c>
      <c r="Q81" s="10" t="s">
        <v>76</v>
      </c>
      <c r="R81" s="12" t="s">
        <v>83</v>
      </c>
      <c r="S81" s="10" t="n">
        <v>10</v>
      </c>
      <c r="T81" s="10" t="s">
        <v>78</v>
      </c>
      <c r="U81" s="12" t="s">
        <v>361</v>
      </c>
      <c r="V81" s="10" t="n">
        <f aca="false">COUNTIF(Bridge_Trip_Site!$A$2:$A$2000,A81)</f>
        <v>5</v>
      </c>
      <c r="W81" s="14" t="n">
        <v>1600</v>
      </c>
      <c r="X81" s="14" t="n">
        <f aca="false">IF(AND(ISNUMBER(M81),ISNUMBER(W81)),M81*W81,"")</f>
        <v>16000</v>
      </c>
      <c r="Y81" s="10" t="n">
        <v>82</v>
      </c>
      <c r="Z81" s="12" t="s">
        <v>65</v>
      </c>
      <c r="AA81" s="12"/>
      <c r="AB81" s="12"/>
    </row>
    <row r="82" customFormat="false" ht="15" hidden="false" customHeight="true" outlineLevel="0" collapsed="false">
      <c r="A82" s="10" t="s">
        <v>362</v>
      </c>
      <c r="B82" s="10" t="s">
        <v>54</v>
      </c>
      <c r="C82" s="10" t="s">
        <v>55</v>
      </c>
      <c r="D82" s="10" t="n">
        <v>1</v>
      </c>
      <c r="E82" s="10" t="str">
        <f aca="false">INDEX(Dim_Department!$B$2:$B$5,MATCH(D82,Dim_Department!$A$2:$A$5,0))</f>
        <v>Nursing</v>
      </c>
      <c r="F82" s="10" t="s">
        <v>56</v>
      </c>
      <c r="G82" s="10" t="s">
        <v>350</v>
      </c>
      <c r="H82" s="10" t="s">
        <v>281</v>
      </c>
      <c r="I82" s="11" t="n">
        <v>45355</v>
      </c>
      <c r="J82" s="11" t="n">
        <v>45366</v>
      </c>
      <c r="K82" s="12" t="s">
        <v>358</v>
      </c>
      <c r="L82" s="10" t="n">
        <v>10</v>
      </c>
      <c r="M82" s="10" t="n">
        <v>10</v>
      </c>
      <c r="N82" s="12" t="s">
        <v>138</v>
      </c>
      <c r="O82" s="13" t="n">
        <v>0.229166666666667</v>
      </c>
      <c r="P82" s="13" t="n">
        <v>0.6875</v>
      </c>
      <c r="Q82" s="10" t="s">
        <v>76</v>
      </c>
      <c r="R82" s="12" t="s">
        <v>83</v>
      </c>
      <c r="S82" s="10" t="n">
        <v>10</v>
      </c>
      <c r="T82" s="10" t="s">
        <v>78</v>
      </c>
      <c r="U82" s="12" t="s">
        <v>363</v>
      </c>
      <c r="V82" s="10" t="n">
        <f aca="false">COUNTIF(Bridge_Trip_Site!$A$2:$A$2000,A82)</f>
        <v>3</v>
      </c>
      <c r="W82" s="14" t="n">
        <v>980</v>
      </c>
      <c r="X82" s="14" t="n">
        <f aca="false">IF(AND(ISNUMBER(M82),ISNUMBER(W82)),M82*W82,"")</f>
        <v>9800</v>
      </c>
      <c r="Y82" s="10" t="n">
        <v>83</v>
      </c>
      <c r="Z82" s="12" t="s">
        <v>65</v>
      </c>
      <c r="AA82" s="12"/>
      <c r="AB82" s="12"/>
    </row>
    <row r="83" customFormat="false" ht="23.25" hidden="false" customHeight="true" outlineLevel="0" collapsed="false">
      <c r="A83" s="10" t="s">
        <v>364</v>
      </c>
      <c r="B83" s="10" t="s">
        <v>54</v>
      </c>
      <c r="C83" s="10" t="s">
        <v>55</v>
      </c>
      <c r="D83" s="10" t="n">
        <v>1</v>
      </c>
      <c r="E83" s="10" t="str">
        <f aca="false">INDEX(Dim_Department!$B$2:$B$5,MATCH(D83,Dim_Department!$A$2:$A$5,0))</f>
        <v>Nursing</v>
      </c>
      <c r="F83" s="10" t="s">
        <v>56</v>
      </c>
      <c r="G83" s="10" t="s">
        <v>365</v>
      </c>
      <c r="H83" s="10" t="s">
        <v>58</v>
      </c>
      <c r="I83" s="11" t="n">
        <v>45432</v>
      </c>
      <c r="J83" s="11" t="n">
        <v>45443</v>
      </c>
      <c r="K83" s="12" t="s">
        <v>366</v>
      </c>
      <c r="L83" s="10" t="n">
        <v>10</v>
      </c>
      <c r="M83" s="10" t="n">
        <v>10</v>
      </c>
      <c r="N83" s="12" t="s">
        <v>367</v>
      </c>
      <c r="O83" s="13" t="n">
        <v>0.229166666666667</v>
      </c>
      <c r="P83" s="13" t="n">
        <v>0.8125</v>
      </c>
      <c r="Q83" s="10" t="s">
        <v>76</v>
      </c>
      <c r="R83" s="12" t="s">
        <v>77</v>
      </c>
      <c r="S83" s="10" t="n">
        <v>10</v>
      </c>
      <c r="T83" s="10" t="s">
        <v>78</v>
      </c>
      <c r="U83" s="12" t="s">
        <v>368</v>
      </c>
      <c r="V83" s="10" t="n">
        <f aca="false">COUNTIF(Bridge_Trip_Site!$A$2:$A$2000,A83)</f>
        <v>5</v>
      </c>
      <c r="W83" s="14" t="n">
        <v>1600</v>
      </c>
      <c r="X83" s="14" t="n">
        <f aca="false">IF(AND(ISNUMBER(M83),ISNUMBER(W83)),M83*W83,"")</f>
        <v>16000</v>
      </c>
      <c r="Y83" s="10" t="n">
        <v>84</v>
      </c>
      <c r="Z83" s="12" t="s">
        <v>65</v>
      </c>
      <c r="AA83" s="12"/>
      <c r="AB83" s="12"/>
    </row>
    <row r="84" customFormat="false" ht="23.25" hidden="false" customHeight="true" outlineLevel="0" collapsed="false">
      <c r="A84" s="10" t="s">
        <v>369</v>
      </c>
      <c r="B84" s="10" t="s">
        <v>54</v>
      </c>
      <c r="C84" s="10" t="s">
        <v>55</v>
      </c>
      <c r="D84" s="10" t="n">
        <v>1</v>
      </c>
      <c r="E84" s="10" t="str">
        <f aca="false">INDEX(Dim_Department!$B$2:$B$5,MATCH(D84,Dim_Department!$A$2:$A$5,0))</f>
        <v>Nursing</v>
      </c>
      <c r="F84" s="10" t="s">
        <v>56</v>
      </c>
      <c r="G84" s="10" t="s">
        <v>365</v>
      </c>
      <c r="H84" s="10" t="s">
        <v>281</v>
      </c>
      <c r="I84" s="11" t="n">
        <v>45432</v>
      </c>
      <c r="J84" s="11" t="n">
        <v>45443</v>
      </c>
      <c r="K84" s="12" t="s">
        <v>366</v>
      </c>
      <c r="L84" s="10" t="n">
        <v>10</v>
      </c>
      <c r="M84" s="10" t="n">
        <v>10</v>
      </c>
      <c r="N84" s="12" t="s">
        <v>367</v>
      </c>
      <c r="O84" s="13" t="n">
        <v>0.229166666666667</v>
      </c>
      <c r="P84" s="13" t="n">
        <v>0.8125</v>
      </c>
      <c r="Q84" s="10" t="s">
        <v>76</v>
      </c>
      <c r="R84" s="12" t="s">
        <v>77</v>
      </c>
      <c r="S84" s="10" t="n">
        <v>10</v>
      </c>
      <c r="T84" s="10" t="s">
        <v>78</v>
      </c>
      <c r="U84" s="12" t="s">
        <v>370</v>
      </c>
      <c r="V84" s="10" t="n">
        <f aca="false">COUNTIF(Bridge_Trip_Site!$A$2:$A$2000,A84)</f>
        <v>5</v>
      </c>
      <c r="W84" s="14" t="n">
        <v>1600</v>
      </c>
      <c r="X84" s="14" t="n">
        <f aca="false">IF(AND(ISNUMBER(M84),ISNUMBER(W84)),M84*W84,"")</f>
        <v>16000</v>
      </c>
      <c r="Y84" s="10" t="n">
        <v>85</v>
      </c>
      <c r="Z84" s="12" t="s">
        <v>65</v>
      </c>
      <c r="AA84" s="12"/>
      <c r="AB84" s="12"/>
    </row>
    <row r="85" customFormat="false" ht="34.5" hidden="false" customHeight="true" outlineLevel="0" collapsed="false">
      <c r="A85" s="10" t="s">
        <v>371</v>
      </c>
      <c r="B85" s="10" t="s">
        <v>54</v>
      </c>
      <c r="C85" s="10" t="s">
        <v>55</v>
      </c>
      <c r="D85" s="10" t="n">
        <v>1</v>
      </c>
      <c r="E85" s="10" t="str">
        <f aca="false">INDEX(Dim_Department!$B$2:$B$5,MATCH(D85,Dim_Department!$A$2:$A$5,0))</f>
        <v>Nursing</v>
      </c>
      <c r="F85" s="10" t="s">
        <v>56</v>
      </c>
      <c r="G85" s="10" t="s">
        <v>365</v>
      </c>
      <c r="H85" s="10" t="s">
        <v>281</v>
      </c>
      <c r="I85" s="11" t="n">
        <v>45432</v>
      </c>
      <c r="J85" s="11" t="n">
        <v>45443</v>
      </c>
      <c r="K85" s="12" t="s">
        <v>366</v>
      </c>
      <c r="L85" s="10" t="n">
        <v>10</v>
      </c>
      <c r="M85" s="10" t="n">
        <v>10</v>
      </c>
      <c r="N85" s="12" t="s">
        <v>367</v>
      </c>
      <c r="O85" s="13" t="n">
        <v>0.229166666666667</v>
      </c>
      <c r="P85" s="13" t="n">
        <v>0.8125</v>
      </c>
      <c r="Q85" s="10" t="s">
        <v>76</v>
      </c>
      <c r="R85" s="12" t="s">
        <v>77</v>
      </c>
      <c r="S85" s="10" t="n">
        <v>10</v>
      </c>
      <c r="T85" s="10" t="s">
        <v>78</v>
      </c>
      <c r="U85" s="12" t="s">
        <v>372</v>
      </c>
      <c r="V85" s="10" t="n">
        <f aca="false">COUNTIF(Bridge_Trip_Site!$A$2:$A$2000,A85)</f>
        <v>6</v>
      </c>
      <c r="W85" s="14" t="n">
        <v>1200</v>
      </c>
      <c r="X85" s="14" t="n">
        <f aca="false">IF(AND(ISNUMBER(M85),ISNUMBER(W85)),M85*W85,"")</f>
        <v>12000</v>
      </c>
      <c r="Y85" s="10" t="n">
        <v>86</v>
      </c>
      <c r="Z85" s="12" t="s">
        <v>65</v>
      </c>
      <c r="AA85" s="12"/>
      <c r="AB85" s="12"/>
    </row>
    <row r="86" customFormat="false" ht="23.25" hidden="false" customHeight="true" outlineLevel="0" collapsed="false">
      <c r="A86" s="10" t="s">
        <v>373</v>
      </c>
      <c r="B86" s="10" t="s">
        <v>54</v>
      </c>
      <c r="C86" s="10" t="s">
        <v>55</v>
      </c>
      <c r="D86" s="10" t="n">
        <v>1</v>
      </c>
      <c r="E86" s="10" t="str">
        <f aca="false">INDEX(Dim_Department!$B$2:$B$5,MATCH(D86,Dim_Department!$A$2:$A$5,0))</f>
        <v>Nursing</v>
      </c>
      <c r="F86" s="10" t="s">
        <v>56</v>
      </c>
      <c r="G86" s="10" t="s">
        <v>365</v>
      </c>
      <c r="H86" s="10" t="s">
        <v>281</v>
      </c>
      <c r="I86" s="11" t="n">
        <v>45432</v>
      </c>
      <c r="J86" s="11" t="n">
        <v>45443</v>
      </c>
      <c r="K86" s="12" t="s">
        <v>366</v>
      </c>
      <c r="L86" s="10" t="n">
        <v>10</v>
      </c>
      <c r="M86" s="10" t="n">
        <v>10</v>
      </c>
      <c r="N86" s="12" t="s">
        <v>367</v>
      </c>
      <c r="O86" s="13" t="n">
        <v>0.229166666666667</v>
      </c>
      <c r="P86" s="13" t="n">
        <v>0.8125</v>
      </c>
      <c r="Q86" s="10" t="s">
        <v>76</v>
      </c>
      <c r="R86" s="12" t="s">
        <v>77</v>
      </c>
      <c r="S86" s="10" t="n">
        <v>10</v>
      </c>
      <c r="T86" s="10" t="s">
        <v>78</v>
      </c>
      <c r="U86" s="12" t="s">
        <v>374</v>
      </c>
      <c r="V86" s="10" t="n">
        <f aca="false">COUNTIF(Bridge_Trip_Site!$A$2:$A$2000,A86)</f>
        <v>4</v>
      </c>
      <c r="W86" s="14" t="n">
        <v>1400</v>
      </c>
      <c r="X86" s="14" t="n">
        <f aca="false">IF(AND(ISNUMBER(M86),ISNUMBER(W86)),M86*W86,"")</f>
        <v>14000</v>
      </c>
      <c r="Y86" s="10" t="n">
        <v>87</v>
      </c>
      <c r="Z86" s="12" t="s">
        <v>65</v>
      </c>
      <c r="AA86" s="12"/>
      <c r="AB86" s="12"/>
    </row>
    <row r="87" customFormat="false" ht="23.25" hidden="false" customHeight="true" outlineLevel="0" collapsed="false">
      <c r="A87" s="10" t="s">
        <v>375</v>
      </c>
      <c r="B87" s="10" t="s">
        <v>54</v>
      </c>
      <c r="C87" s="10" t="s">
        <v>55</v>
      </c>
      <c r="D87" s="10" t="n">
        <v>1</v>
      </c>
      <c r="E87" s="10" t="str">
        <f aca="false">INDEX(Dim_Department!$B$2:$B$5,MATCH(D87,Dim_Department!$A$2:$A$5,0))</f>
        <v>Nursing</v>
      </c>
      <c r="F87" s="10" t="s">
        <v>56</v>
      </c>
      <c r="G87" s="10" t="s">
        <v>365</v>
      </c>
      <c r="H87" s="10" t="s">
        <v>281</v>
      </c>
      <c r="I87" s="11" t="n">
        <v>45432</v>
      </c>
      <c r="J87" s="11" t="n">
        <v>45443</v>
      </c>
      <c r="K87" s="12" t="s">
        <v>366</v>
      </c>
      <c r="L87" s="10" t="n">
        <v>10</v>
      </c>
      <c r="M87" s="10" t="n">
        <v>10</v>
      </c>
      <c r="N87" s="12" t="s">
        <v>367</v>
      </c>
      <c r="O87" s="13" t="n">
        <v>0.229166666666667</v>
      </c>
      <c r="P87" s="13" t="n">
        <v>0.8125</v>
      </c>
      <c r="Q87" s="10" t="s">
        <v>76</v>
      </c>
      <c r="R87" s="12" t="s">
        <v>77</v>
      </c>
      <c r="S87" s="10" t="n">
        <v>10</v>
      </c>
      <c r="T87" s="10" t="s">
        <v>78</v>
      </c>
      <c r="U87" s="12" t="s">
        <v>376</v>
      </c>
      <c r="V87" s="10" t="n">
        <f aca="false">COUNTIF(Bridge_Trip_Site!$A$2:$A$2000,A87)</f>
        <v>3</v>
      </c>
      <c r="W87" s="14" t="n">
        <v>2600</v>
      </c>
      <c r="X87" s="14" t="n">
        <f aca="false">IF(AND(ISNUMBER(M87),ISNUMBER(W87)),M87*W87,"")</f>
        <v>26000</v>
      </c>
      <c r="Y87" s="10" t="n">
        <v>88</v>
      </c>
      <c r="Z87" s="12" t="s">
        <v>65</v>
      </c>
      <c r="AA87" s="12"/>
      <c r="AB87" s="12"/>
    </row>
    <row r="88" customFormat="false" ht="15" hidden="false" customHeight="true" outlineLevel="0" collapsed="false">
      <c r="A88" s="10" t="s">
        <v>377</v>
      </c>
      <c r="B88" s="10" t="s">
        <v>54</v>
      </c>
      <c r="C88" s="10" t="s">
        <v>55</v>
      </c>
      <c r="D88" s="10" t="n">
        <v>1</v>
      </c>
      <c r="E88" s="10" t="str">
        <f aca="false">INDEX(Dim_Department!$B$2:$B$5,MATCH(D88,Dim_Department!$A$2:$A$5,0))</f>
        <v>Nursing</v>
      </c>
      <c r="F88" s="10" t="s">
        <v>378</v>
      </c>
      <c r="G88" s="10" t="s">
        <v>365</v>
      </c>
      <c r="H88" s="10" t="s">
        <v>281</v>
      </c>
      <c r="I88" s="11" t="n">
        <v>45431</v>
      </c>
      <c r="J88" s="11" t="n">
        <v>45443</v>
      </c>
      <c r="K88" s="12" t="s">
        <v>379</v>
      </c>
      <c r="L88" s="10" t="n">
        <v>2</v>
      </c>
      <c r="M88" s="10" t="n">
        <v>2</v>
      </c>
      <c r="N88" s="12" t="s">
        <v>119</v>
      </c>
      <c r="O88" s="13"/>
      <c r="P88" s="13"/>
      <c r="Q88" s="10" t="s">
        <v>225</v>
      </c>
      <c r="R88" s="12" t="s">
        <v>380</v>
      </c>
      <c r="S88" s="10" t="n">
        <v>18</v>
      </c>
      <c r="T88" s="10" t="s">
        <v>78</v>
      </c>
      <c r="U88" s="12" t="s">
        <v>381</v>
      </c>
      <c r="V88" s="10" t="n">
        <f aca="false">COUNTIF(Bridge_Trip_Site!$A$2:$A$2000,A88)</f>
        <v>1</v>
      </c>
      <c r="W88" s="14" t="n">
        <v>1850</v>
      </c>
      <c r="X88" s="14" t="n">
        <f aca="false">IF(AND(ISNUMBER(M88),ISNUMBER(W88)),M88*W88,"")</f>
        <v>3700</v>
      </c>
      <c r="Y88" s="10" t="n">
        <v>89</v>
      </c>
      <c r="Z88" s="12" t="s">
        <v>65</v>
      </c>
      <c r="AA88" s="12"/>
      <c r="AB88" s="12"/>
    </row>
    <row r="89" customFormat="false" ht="15" hidden="false" customHeight="true" outlineLevel="0" collapsed="false">
      <c r="A89" s="10" t="s">
        <v>382</v>
      </c>
      <c r="B89" s="10" t="s">
        <v>54</v>
      </c>
      <c r="C89" s="10" t="s">
        <v>55</v>
      </c>
      <c r="D89" s="10" t="n">
        <v>1</v>
      </c>
      <c r="E89" s="10" t="str">
        <f aca="false">INDEX(Dim_Department!$B$2:$B$5,MATCH(D89,Dim_Department!$A$2:$A$5,0))</f>
        <v>Nursing</v>
      </c>
      <c r="F89" s="10" t="s">
        <v>383</v>
      </c>
      <c r="G89" s="10" t="s">
        <v>384</v>
      </c>
      <c r="H89" s="10" t="s">
        <v>58</v>
      </c>
      <c r="I89" s="11" t="n">
        <v>45418</v>
      </c>
      <c r="J89" s="11" t="n">
        <v>45418</v>
      </c>
      <c r="K89" s="12" t="s">
        <v>385</v>
      </c>
      <c r="L89" s="10" t="n">
        <v>1</v>
      </c>
      <c r="M89" s="10" t="n">
        <v>1</v>
      </c>
      <c r="N89" s="12" t="s">
        <v>60</v>
      </c>
      <c r="O89" s="13" t="n">
        <v>0.229166666666667</v>
      </c>
      <c r="P89" s="13" t="n">
        <v>0.8125</v>
      </c>
      <c r="Q89" s="10" t="s">
        <v>76</v>
      </c>
      <c r="R89" s="12" t="s">
        <v>77</v>
      </c>
      <c r="S89" s="10" t="n">
        <v>60</v>
      </c>
      <c r="T89" s="10" t="s">
        <v>78</v>
      </c>
      <c r="U89" s="12" t="s">
        <v>386</v>
      </c>
      <c r="V89" s="10" t="n">
        <f aca="false">COUNTIF(Bridge_Trip_Site!$A$2:$A$2000,A89)</f>
        <v>2</v>
      </c>
      <c r="W89" s="14" t="n">
        <v>3600</v>
      </c>
      <c r="X89" s="14" t="n">
        <f aca="false">IF(AND(ISNUMBER(M89),ISNUMBER(W89)),M89*W89,"")</f>
        <v>3600</v>
      </c>
      <c r="Y89" s="10" t="n">
        <v>90</v>
      </c>
      <c r="Z89" s="12" t="s">
        <v>65</v>
      </c>
      <c r="AA89" s="12"/>
      <c r="AB89" s="12"/>
    </row>
    <row r="90" customFormat="false" ht="23.25" hidden="false" customHeight="true" outlineLevel="0" collapsed="false">
      <c r="A90" s="10" t="s">
        <v>387</v>
      </c>
      <c r="B90" s="10" t="s">
        <v>54</v>
      </c>
      <c r="C90" s="10" t="s">
        <v>55</v>
      </c>
      <c r="D90" s="10" t="n">
        <v>1</v>
      </c>
      <c r="E90" s="10" t="str">
        <f aca="false">INDEX(Dim_Department!$B$2:$B$5,MATCH(D90,Dim_Department!$A$2:$A$5,0))</f>
        <v>Nursing</v>
      </c>
      <c r="F90" s="10" t="s">
        <v>56</v>
      </c>
      <c r="G90" s="10" t="s">
        <v>384</v>
      </c>
      <c r="H90" s="10" t="s">
        <v>281</v>
      </c>
      <c r="I90" s="11" t="n">
        <v>45425</v>
      </c>
      <c r="J90" s="11" t="n">
        <v>45443</v>
      </c>
      <c r="K90" s="12" t="s">
        <v>388</v>
      </c>
      <c r="L90" s="10" t="n">
        <v>15</v>
      </c>
      <c r="M90" s="10" t="n">
        <v>15</v>
      </c>
      <c r="N90" s="12" t="s">
        <v>389</v>
      </c>
      <c r="O90" s="13" t="n">
        <v>0.229166666666667</v>
      </c>
      <c r="P90" s="13" t="n">
        <v>0.8125</v>
      </c>
      <c r="Q90" s="10" t="s">
        <v>76</v>
      </c>
      <c r="R90" s="12" t="s">
        <v>77</v>
      </c>
      <c r="S90" s="10" t="n">
        <v>10</v>
      </c>
      <c r="T90" s="10" t="s">
        <v>78</v>
      </c>
      <c r="U90" s="12" t="s">
        <v>390</v>
      </c>
      <c r="V90" s="10" t="n">
        <f aca="false">COUNTIF(Bridge_Trip_Site!$A$2:$A$2000,A90)</f>
        <v>4</v>
      </c>
      <c r="W90" s="14" t="n">
        <v>1400</v>
      </c>
      <c r="X90" s="14" t="n">
        <f aca="false">IF(AND(ISNUMBER(M90),ISNUMBER(W90)),M90*W90,"")</f>
        <v>21000</v>
      </c>
      <c r="Y90" s="10" t="n">
        <v>91</v>
      </c>
      <c r="Z90" s="12" t="s">
        <v>65</v>
      </c>
      <c r="AA90" s="12"/>
      <c r="AB90" s="12"/>
    </row>
    <row r="91" customFormat="false" ht="23.25" hidden="false" customHeight="true" outlineLevel="0" collapsed="false">
      <c r="A91" s="10" t="s">
        <v>391</v>
      </c>
      <c r="B91" s="10" t="s">
        <v>54</v>
      </c>
      <c r="C91" s="10" t="s">
        <v>55</v>
      </c>
      <c r="D91" s="10" t="n">
        <v>1</v>
      </c>
      <c r="E91" s="10" t="str">
        <f aca="false">INDEX(Dim_Department!$B$2:$B$5,MATCH(D91,Dim_Department!$A$2:$A$5,0))</f>
        <v>Nursing</v>
      </c>
      <c r="F91" s="10" t="s">
        <v>56</v>
      </c>
      <c r="G91" s="10" t="s">
        <v>384</v>
      </c>
      <c r="H91" s="10" t="s">
        <v>281</v>
      </c>
      <c r="I91" s="11" t="n">
        <v>45439</v>
      </c>
      <c r="J91" s="11" t="n">
        <v>45443</v>
      </c>
      <c r="K91" s="12" t="s">
        <v>392</v>
      </c>
      <c r="L91" s="10" t="n">
        <v>5</v>
      </c>
      <c r="M91" s="10" t="n">
        <v>5</v>
      </c>
      <c r="N91" s="12" t="s">
        <v>352</v>
      </c>
      <c r="O91" s="13" t="n">
        <v>0.229166666666667</v>
      </c>
      <c r="P91" s="13" t="n">
        <v>0.8125</v>
      </c>
      <c r="Q91" s="10" t="s">
        <v>76</v>
      </c>
      <c r="R91" s="12" t="s">
        <v>77</v>
      </c>
      <c r="S91" s="10" t="n">
        <v>10</v>
      </c>
      <c r="T91" s="10" t="s">
        <v>78</v>
      </c>
      <c r="U91" s="12" t="s">
        <v>393</v>
      </c>
      <c r="V91" s="10" t="n">
        <f aca="false">COUNTIF(Bridge_Trip_Site!$A$2:$A$2000,A91)</f>
        <v>1</v>
      </c>
      <c r="W91" s="14" t="n">
        <v>3400</v>
      </c>
      <c r="X91" s="14" t="n">
        <f aca="false">IF(AND(ISNUMBER(M91),ISNUMBER(W91)),M91*W91,"")</f>
        <v>17000</v>
      </c>
      <c r="Y91" s="10" t="n">
        <v>92</v>
      </c>
      <c r="Z91" s="12" t="s">
        <v>65</v>
      </c>
      <c r="AA91" s="12"/>
      <c r="AB91" s="12"/>
    </row>
    <row r="92" customFormat="false" ht="23.25" hidden="false" customHeight="true" outlineLevel="0" collapsed="false">
      <c r="A92" s="10" t="s">
        <v>394</v>
      </c>
      <c r="B92" s="10" t="s">
        <v>54</v>
      </c>
      <c r="C92" s="10" t="s">
        <v>55</v>
      </c>
      <c r="D92" s="10" t="n">
        <v>1</v>
      </c>
      <c r="E92" s="10" t="str">
        <f aca="false">INDEX(Dim_Department!$B$2:$B$5,MATCH(D92,Dim_Department!$A$2:$A$5,0))</f>
        <v>Nursing</v>
      </c>
      <c r="F92" s="10" t="s">
        <v>56</v>
      </c>
      <c r="G92" s="10" t="s">
        <v>384</v>
      </c>
      <c r="H92" s="10" t="s">
        <v>281</v>
      </c>
      <c r="I92" s="11" t="n">
        <v>45425</v>
      </c>
      <c r="J92" s="11" t="n">
        <v>45443</v>
      </c>
      <c r="K92" s="12" t="s">
        <v>395</v>
      </c>
      <c r="L92" s="10" t="n">
        <v>15</v>
      </c>
      <c r="M92" s="10" t="n">
        <v>15</v>
      </c>
      <c r="N92" s="12" t="s">
        <v>389</v>
      </c>
      <c r="O92" s="13" t="n">
        <v>0.229166666666667</v>
      </c>
      <c r="P92" s="13" t="n">
        <v>0.8125</v>
      </c>
      <c r="Q92" s="10" t="s">
        <v>76</v>
      </c>
      <c r="R92" s="12" t="s">
        <v>77</v>
      </c>
      <c r="S92" s="10" t="n">
        <v>10</v>
      </c>
      <c r="T92" s="10" t="s">
        <v>78</v>
      </c>
      <c r="U92" s="12" t="s">
        <v>396</v>
      </c>
      <c r="V92" s="10" t="n">
        <f aca="false">COUNTIF(Bridge_Trip_Site!$A$2:$A$2000,A92)</f>
        <v>3</v>
      </c>
      <c r="W92" s="14" t="n">
        <v>1400</v>
      </c>
      <c r="X92" s="14" t="n">
        <f aca="false">IF(AND(ISNUMBER(M92),ISNUMBER(W92)),M92*W92,"")</f>
        <v>21000</v>
      </c>
      <c r="Y92" s="10" t="n">
        <v>93</v>
      </c>
      <c r="Z92" s="12" t="s">
        <v>65</v>
      </c>
      <c r="AA92" s="12"/>
      <c r="AB92" s="12"/>
    </row>
    <row r="93" customFormat="false" ht="23.25" hidden="false" customHeight="true" outlineLevel="0" collapsed="false">
      <c r="A93" s="10" t="s">
        <v>397</v>
      </c>
      <c r="B93" s="10" t="s">
        <v>54</v>
      </c>
      <c r="C93" s="10" t="s">
        <v>55</v>
      </c>
      <c r="D93" s="10" t="n">
        <v>1</v>
      </c>
      <c r="E93" s="10" t="str">
        <f aca="false">INDEX(Dim_Department!$B$2:$B$5,MATCH(D93,Dim_Department!$A$2:$A$5,0))</f>
        <v>Nursing</v>
      </c>
      <c r="F93" s="10" t="s">
        <v>56</v>
      </c>
      <c r="G93" s="10" t="s">
        <v>384</v>
      </c>
      <c r="H93" s="10" t="s">
        <v>281</v>
      </c>
      <c r="I93" s="11" t="n">
        <v>45426</v>
      </c>
      <c r="J93" s="11" t="n">
        <v>45436</v>
      </c>
      <c r="K93" s="12" t="s">
        <v>398</v>
      </c>
      <c r="L93" s="10" t="n">
        <v>9</v>
      </c>
      <c r="M93" s="10" t="n">
        <v>8</v>
      </c>
      <c r="N93" s="12" t="s">
        <v>399</v>
      </c>
      <c r="O93" s="13" t="n">
        <v>0.229166666666667</v>
      </c>
      <c r="P93" s="13" t="n">
        <v>0.8125</v>
      </c>
      <c r="Q93" s="10" t="s">
        <v>76</v>
      </c>
      <c r="R93" s="12" t="s">
        <v>77</v>
      </c>
      <c r="S93" s="10" t="n">
        <v>10</v>
      </c>
      <c r="T93" s="10" t="s">
        <v>78</v>
      </c>
      <c r="U93" s="12" t="s">
        <v>400</v>
      </c>
      <c r="V93" s="10" t="n">
        <f aca="false">COUNTIF(Bridge_Trip_Site!$A$2:$A$2000,A93)</f>
        <v>2</v>
      </c>
      <c r="W93" s="14" t="n">
        <v>980</v>
      </c>
      <c r="X93" s="14" t="n">
        <f aca="false">IF(AND(ISNUMBER(M93),ISNUMBER(W93)),M93*W93,"")</f>
        <v>7840</v>
      </c>
      <c r="Y93" s="10" t="n">
        <v>94</v>
      </c>
      <c r="Z93" s="12" t="s">
        <v>65</v>
      </c>
      <c r="AA93" s="12"/>
      <c r="AB93" s="12"/>
    </row>
    <row r="94" customFormat="false" ht="23.25" hidden="false" customHeight="true" outlineLevel="0" collapsed="false">
      <c r="A94" s="10" t="s">
        <v>401</v>
      </c>
      <c r="B94" s="10" t="s">
        <v>402</v>
      </c>
      <c r="C94" s="10" t="s">
        <v>403</v>
      </c>
      <c r="D94" s="10" t="n">
        <v>2</v>
      </c>
      <c r="E94" s="10" t="str">
        <f aca="false">INDEX(Dim_Department!$B$2:$B$5,MATCH(D94,Dim_Department!$A$2:$A$5,0))</f>
        <v>DEMS</v>
      </c>
      <c r="F94" s="10" t="s">
        <v>116</v>
      </c>
      <c r="G94" s="10"/>
      <c r="H94" s="10" t="s">
        <v>404</v>
      </c>
      <c r="I94" s="11" t="n">
        <v>45658</v>
      </c>
      <c r="J94" s="11" t="n">
        <v>46022</v>
      </c>
      <c r="K94" s="12" t="s">
        <v>405</v>
      </c>
      <c r="L94" s="10"/>
      <c r="M94" s="10"/>
      <c r="N94" s="12" t="s">
        <v>406</v>
      </c>
      <c r="O94" s="13"/>
      <c r="P94" s="13"/>
      <c r="Q94" s="10" t="s">
        <v>120</v>
      </c>
      <c r="R94" s="12" t="s">
        <v>407</v>
      </c>
      <c r="S94" s="10" t="n">
        <v>12</v>
      </c>
      <c r="T94" s="10" t="s">
        <v>78</v>
      </c>
      <c r="U94" s="12" t="s">
        <v>408</v>
      </c>
      <c r="V94" s="10" t="n">
        <f aca="false">COUNTIF(Bridge_Trip_Site!$A$2:$A$2000,A94)</f>
        <v>1</v>
      </c>
      <c r="W94" s="15" t="n">
        <v>850</v>
      </c>
      <c r="X94" s="14" t="str">
        <f aca="false">IF(AND(ISNUMBER(M94),ISNUMBER(W94)),M94*W94,"")</f>
        <v/>
      </c>
      <c r="Y94" s="10"/>
      <c r="Z94" s="12" t="s">
        <v>409</v>
      </c>
      <c r="AA94" s="12" t="s">
        <v>127</v>
      </c>
      <c r="AB94" s="12" t="s">
        <v>410</v>
      </c>
    </row>
    <row r="95" customFormat="false" ht="23.25" hidden="false" customHeight="true" outlineLevel="0" collapsed="false">
      <c r="A95" s="10" t="s">
        <v>411</v>
      </c>
      <c r="B95" s="10" t="s">
        <v>402</v>
      </c>
      <c r="C95" s="10" t="s">
        <v>403</v>
      </c>
      <c r="D95" s="10" t="n">
        <v>2</v>
      </c>
      <c r="E95" s="10" t="str">
        <f aca="false">INDEX(Dim_Department!$B$2:$B$5,MATCH(D95,Dim_Department!$A$2:$A$5,0))</f>
        <v>DEMS</v>
      </c>
      <c r="F95" s="10" t="s">
        <v>116</v>
      </c>
      <c r="G95" s="10"/>
      <c r="H95" s="10" t="s">
        <v>404</v>
      </c>
      <c r="I95" s="11" t="n">
        <v>45658</v>
      </c>
      <c r="J95" s="11" t="n">
        <v>46022</v>
      </c>
      <c r="K95" s="12" t="s">
        <v>405</v>
      </c>
      <c r="L95" s="10"/>
      <c r="M95" s="10"/>
      <c r="N95" s="12" t="s">
        <v>406</v>
      </c>
      <c r="O95" s="13"/>
      <c r="P95" s="13"/>
      <c r="Q95" s="10" t="s">
        <v>120</v>
      </c>
      <c r="R95" s="12" t="s">
        <v>407</v>
      </c>
      <c r="S95" s="10" t="n">
        <v>4</v>
      </c>
      <c r="T95" s="10" t="s">
        <v>78</v>
      </c>
      <c r="U95" s="12" t="s">
        <v>412</v>
      </c>
      <c r="V95" s="10" t="n">
        <f aca="false">COUNTIF(Bridge_Trip_Site!$A$2:$A$2000,A95)</f>
        <v>1</v>
      </c>
      <c r="W95" s="15" t="n">
        <v>450</v>
      </c>
      <c r="X95" s="14" t="str">
        <f aca="false">IF(AND(ISNUMBER(M95),ISNUMBER(W95)),M95*W95,"")</f>
        <v/>
      </c>
      <c r="Y95" s="10"/>
      <c r="Z95" s="12" t="s">
        <v>413</v>
      </c>
      <c r="AA95" s="12" t="s">
        <v>307</v>
      </c>
      <c r="AB95" s="12" t="s">
        <v>414</v>
      </c>
    </row>
    <row r="96" customFormat="false" ht="23.25" hidden="false" customHeight="true" outlineLevel="0" collapsed="false">
      <c r="A96" s="10" t="s">
        <v>415</v>
      </c>
      <c r="B96" s="10" t="s">
        <v>402</v>
      </c>
      <c r="C96" s="10" t="s">
        <v>403</v>
      </c>
      <c r="D96" s="10" t="n">
        <v>2</v>
      </c>
      <c r="E96" s="10" t="str">
        <f aca="false">INDEX(Dim_Department!$B$2:$B$5,MATCH(D96,Dim_Department!$A$2:$A$5,0))</f>
        <v>DEMS</v>
      </c>
      <c r="F96" s="10" t="s">
        <v>116</v>
      </c>
      <c r="G96" s="10"/>
      <c r="H96" s="10" t="s">
        <v>404</v>
      </c>
      <c r="I96" s="11" t="n">
        <v>45658</v>
      </c>
      <c r="J96" s="11" t="n">
        <v>46022</v>
      </c>
      <c r="K96" s="12" t="s">
        <v>405</v>
      </c>
      <c r="L96" s="10"/>
      <c r="M96" s="10"/>
      <c r="N96" s="12" t="s">
        <v>406</v>
      </c>
      <c r="O96" s="13"/>
      <c r="P96" s="13"/>
      <c r="Q96" s="10" t="s">
        <v>120</v>
      </c>
      <c r="R96" s="12" t="s">
        <v>407</v>
      </c>
      <c r="S96" s="10" t="n">
        <v>20</v>
      </c>
      <c r="T96" s="10" t="s">
        <v>78</v>
      </c>
      <c r="U96" s="12" t="s">
        <v>416</v>
      </c>
      <c r="V96" s="10" t="n">
        <f aca="false">COUNTIF(Bridge_Trip_Site!$A$2:$A$2000,A96)</f>
        <v>1</v>
      </c>
      <c r="W96" s="15" t="n">
        <v>700</v>
      </c>
      <c r="X96" s="14" t="str">
        <f aca="false">IF(AND(ISNUMBER(M96),ISNUMBER(W96)),M96*W96,"")</f>
        <v/>
      </c>
      <c r="Y96" s="10"/>
      <c r="Z96" s="12" t="s">
        <v>413</v>
      </c>
      <c r="AA96" s="12" t="s">
        <v>315</v>
      </c>
      <c r="AB96" s="12" t="s">
        <v>417</v>
      </c>
    </row>
    <row r="97" customFormat="false" ht="23.25" hidden="false" customHeight="true" outlineLevel="0" collapsed="false">
      <c r="A97" s="10" t="s">
        <v>418</v>
      </c>
      <c r="B97" s="10" t="s">
        <v>402</v>
      </c>
      <c r="C97" s="10" t="s">
        <v>403</v>
      </c>
      <c r="D97" s="10" t="n">
        <v>2</v>
      </c>
      <c r="E97" s="10" t="str">
        <f aca="false">INDEX(Dim_Department!$B$2:$B$5,MATCH(D97,Dim_Department!$A$2:$A$5,0))</f>
        <v>DEMS</v>
      </c>
      <c r="F97" s="10" t="s">
        <v>116</v>
      </c>
      <c r="G97" s="10"/>
      <c r="H97" s="10" t="s">
        <v>404</v>
      </c>
      <c r="I97" s="11" t="n">
        <v>45658</v>
      </c>
      <c r="J97" s="11" t="n">
        <v>46022</v>
      </c>
      <c r="K97" s="12" t="s">
        <v>405</v>
      </c>
      <c r="L97" s="10"/>
      <c r="M97" s="10"/>
      <c r="N97" s="12" t="s">
        <v>406</v>
      </c>
      <c r="O97" s="13"/>
      <c r="P97" s="13"/>
      <c r="Q97" s="10" t="s">
        <v>120</v>
      </c>
      <c r="R97" s="12" t="s">
        <v>407</v>
      </c>
      <c r="S97" s="10" t="n">
        <v>4</v>
      </c>
      <c r="T97" s="10" t="s">
        <v>78</v>
      </c>
      <c r="U97" s="12" t="s">
        <v>419</v>
      </c>
      <c r="V97" s="10" t="n">
        <f aca="false">COUNTIF(Bridge_Trip_Site!$A$2:$A$2000,A97)</f>
        <v>1</v>
      </c>
      <c r="W97" s="15" t="n">
        <v>375</v>
      </c>
      <c r="X97" s="14" t="str">
        <f aca="false">IF(AND(ISNUMBER(M97),ISNUMBER(W97)),M97*W97,"")</f>
        <v/>
      </c>
      <c r="Y97" s="10"/>
      <c r="Z97" s="12" t="s">
        <v>413</v>
      </c>
      <c r="AA97" s="12" t="s">
        <v>131</v>
      </c>
      <c r="AB97" s="12" t="s">
        <v>420</v>
      </c>
    </row>
    <row r="98" customFormat="false" ht="23.25" hidden="false" customHeight="true" outlineLevel="0" collapsed="false">
      <c r="A98" s="10" t="s">
        <v>421</v>
      </c>
      <c r="B98" s="10" t="s">
        <v>402</v>
      </c>
      <c r="C98" s="10" t="s">
        <v>403</v>
      </c>
      <c r="D98" s="10" t="n">
        <v>2</v>
      </c>
      <c r="E98" s="10" t="str">
        <f aca="false">INDEX(Dim_Department!$B$2:$B$5,MATCH(D98,Dim_Department!$A$2:$A$5,0))</f>
        <v>DEMS</v>
      </c>
      <c r="F98" s="10" t="s">
        <v>116</v>
      </c>
      <c r="G98" s="10"/>
      <c r="H98" s="10" t="s">
        <v>404</v>
      </c>
      <c r="I98" s="11" t="n">
        <v>45658</v>
      </c>
      <c r="J98" s="11" t="n">
        <v>46022</v>
      </c>
      <c r="K98" s="12" t="s">
        <v>405</v>
      </c>
      <c r="L98" s="10"/>
      <c r="M98" s="10"/>
      <c r="N98" s="12" t="s">
        <v>406</v>
      </c>
      <c r="O98" s="13"/>
      <c r="P98" s="13"/>
      <c r="Q98" s="10" t="s">
        <v>120</v>
      </c>
      <c r="R98" s="12" t="s">
        <v>407</v>
      </c>
      <c r="S98" s="10" t="n">
        <v>2</v>
      </c>
      <c r="T98" s="10" t="s">
        <v>78</v>
      </c>
      <c r="U98" s="12" t="s">
        <v>422</v>
      </c>
      <c r="V98" s="10" t="n">
        <f aca="false">COUNTIF(Bridge_Trip_Site!$A$2:$A$2000,A98)</f>
        <v>1</v>
      </c>
      <c r="W98" s="15" t="n">
        <v>450</v>
      </c>
      <c r="X98" s="14" t="str">
        <f aca="false">IF(AND(ISNUMBER(M98),ISNUMBER(W98)),M98*W98,"")</f>
        <v/>
      </c>
      <c r="Y98" s="10"/>
      <c r="Z98" s="12" t="s">
        <v>413</v>
      </c>
      <c r="AA98" s="12" t="s">
        <v>307</v>
      </c>
      <c r="AB98" s="12" t="s">
        <v>414</v>
      </c>
    </row>
    <row r="99" customFormat="false" ht="23.25" hidden="false" customHeight="true" outlineLevel="0" collapsed="false">
      <c r="A99" s="10" t="s">
        <v>423</v>
      </c>
      <c r="B99" s="10" t="s">
        <v>402</v>
      </c>
      <c r="C99" s="10" t="s">
        <v>403</v>
      </c>
      <c r="D99" s="10" t="n">
        <v>2</v>
      </c>
      <c r="E99" s="10" t="str">
        <f aca="false">INDEX(Dim_Department!$B$2:$B$5,MATCH(D99,Dim_Department!$A$2:$A$5,0))</f>
        <v>DEMS</v>
      </c>
      <c r="F99" s="10" t="s">
        <v>116</v>
      </c>
      <c r="G99" s="10"/>
      <c r="H99" s="10" t="s">
        <v>404</v>
      </c>
      <c r="I99" s="11" t="n">
        <v>45658</v>
      </c>
      <c r="J99" s="11" t="n">
        <v>46022</v>
      </c>
      <c r="K99" s="12" t="s">
        <v>405</v>
      </c>
      <c r="L99" s="10"/>
      <c r="M99" s="10"/>
      <c r="N99" s="12" t="s">
        <v>406</v>
      </c>
      <c r="O99" s="13"/>
      <c r="P99" s="13"/>
      <c r="Q99" s="10" t="s">
        <v>120</v>
      </c>
      <c r="R99" s="12" t="s">
        <v>407</v>
      </c>
      <c r="S99" s="10" t="n">
        <v>10</v>
      </c>
      <c r="T99" s="10" t="s">
        <v>78</v>
      </c>
      <c r="U99" s="12" t="s">
        <v>424</v>
      </c>
      <c r="V99" s="10" t="n">
        <f aca="false">COUNTIF(Bridge_Trip_Site!$A$2:$A$2000,A99)</f>
        <v>1</v>
      </c>
      <c r="W99" s="15" t="n">
        <v>850</v>
      </c>
      <c r="X99" s="14" t="str">
        <f aca="false">IF(AND(ISNUMBER(M99),ISNUMBER(W99)),M99*W99,"")</f>
        <v/>
      </c>
      <c r="Y99" s="10"/>
      <c r="Z99" s="12" t="s">
        <v>409</v>
      </c>
      <c r="AA99" s="12" t="s">
        <v>425</v>
      </c>
      <c r="AB99" s="12" t="s">
        <v>410</v>
      </c>
    </row>
    <row r="100" customFormat="false" ht="23.25" hidden="false" customHeight="true" outlineLevel="0" collapsed="false">
      <c r="A100" s="10" t="s">
        <v>426</v>
      </c>
      <c r="B100" s="10" t="s">
        <v>402</v>
      </c>
      <c r="C100" s="10" t="s">
        <v>403</v>
      </c>
      <c r="D100" s="10" t="n">
        <v>2</v>
      </c>
      <c r="E100" s="10" t="str">
        <f aca="false">INDEX(Dim_Department!$B$2:$B$5,MATCH(D100,Dim_Department!$A$2:$A$5,0))</f>
        <v>DEMS</v>
      </c>
      <c r="F100" s="10" t="s">
        <v>116</v>
      </c>
      <c r="G100" s="10"/>
      <c r="H100" s="10" t="s">
        <v>404</v>
      </c>
      <c r="I100" s="11" t="n">
        <v>45658</v>
      </c>
      <c r="J100" s="11" t="n">
        <v>46022</v>
      </c>
      <c r="K100" s="12" t="s">
        <v>405</v>
      </c>
      <c r="L100" s="10"/>
      <c r="M100" s="10"/>
      <c r="N100" s="12" t="s">
        <v>406</v>
      </c>
      <c r="O100" s="13"/>
      <c r="P100" s="13"/>
      <c r="Q100" s="10" t="s">
        <v>120</v>
      </c>
      <c r="R100" s="12" t="s">
        <v>407</v>
      </c>
      <c r="S100" s="10" t="n">
        <v>2</v>
      </c>
      <c r="T100" s="10" t="s">
        <v>78</v>
      </c>
      <c r="U100" s="12" t="s">
        <v>427</v>
      </c>
      <c r="V100" s="10" t="n">
        <f aca="false">COUNTIF(Bridge_Trip_Site!$A$2:$A$2000,A100)</f>
        <v>1</v>
      </c>
      <c r="W100" s="16" t="n">
        <f aca="false">README!$B$15</f>
        <v>3600</v>
      </c>
      <c r="X100" s="14" t="str">
        <f aca="false">IF(AND(ISNUMBER(M100),ISNUMBER(W100)),M100*W100,"")</f>
        <v/>
      </c>
      <c r="Y100" s="10"/>
      <c r="Z100" s="12" t="s">
        <v>428</v>
      </c>
      <c r="AA100" s="12"/>
      <c r="AB100" s="12" t="s">
        <v>429</v>
      </c>
    </row>
    <row r="101" customFormat="false" ht="23.25" hidden="false" customHeight="true" outlineLevel="0" collapsed="false">
      <c r="A101" s="10" t="s">
        <v>430</v>
      </c>
      <c r="B101" s="10" t="s">
        <v>402</v>
      </c>
      <c r="C101" s="10" t="s">
        <v>403</v>
      </c>
      <c r="D101" s="10" t="n">
        <v>2</v>
      </c>
      <c r="E101" s="10" t="str">
        <f aca="false">INDEX(Dim_Department!$B$2:$B$5,MATCH(D101,Dim_Department!$A$2:$A$5,0))</f>
        <v>DEMS</v>
      </c>
      <c r="F101" s="10" t="s">
        <v>116</v>
      </c>
      <c r="G101" s="10"/>
      <c r="H101" s="10" t="s">
        <v>404</v>
      </c>
      <c r="I101" s="11" t="n">
        <v>45658</v>
      </c>
      <c r="J101" s="11" t="n">
        <v>46022</v>
      </c>
      <c r="K101" s="12" t="s">
        <v>405</v>
      </c>
      <c r="L101" s="10"/>
      <c r="M101" s="10"/>
      <c r="N101" s="12" t="s">
        <v>406</v>
      </c>
      <c r="O101" s="13"/>
      <c r="P101" s="13"/>
      <c r="Q101" s="10" t="s">
        <v>120</v>
      </c>
      <c r="R101" s="12" t="s">
        <v>407</v>
      </c>
      <c r="S101" s="10" t="n">
        <v>4</v>
      </c>
      <c r="T101" s="10" t="s">
        <v>78</v>
      </c>
      <c r="U101" s="12" t="s">
        <v>431</v>
      </c>
      <c r="V101" s="10" t="n">
        <f aca="false">COUNTIF(Bridge_Trip_Site!$A$2:$A$2000,A101)</f>
        <v>1</v>
      </c>
      <c r="W101" s="16" t="n">
        <f aca="false">README!$B$15</f>
        <v>3600</v>
      </c>
      <c r="X101" s="14" t="str">
        <f aca="false">IF(AND(ISNUMBER(M101),ISNUMBER(W101)),M101*W101,"")</f>
        <v/>
      </c>
      <c r="Y101" s="10"/>
      <c r="Z101" s="12" t="s">
        <v>428</v>
      </c>
      <c r="AA101" s="12"/>
      <c r="AB101" s="12" t="s">
        <v>432</v>
      </c>
    </row>
    <row r="102" customFormat="false" ht="23.25" hidden="false" customHeight="true" outlineLevel="0" collapsed="false">
      <c r="A102" s="10" t="s">
        <v>433</v>
      </c>
      <c r="B102" s="10" t="s">
        <v>402</v>
      </c>
      <c r="C102" s="10" t="s">
        <v>403</v>
      </c>
      <c r="D102" s="10" t="n">
        <v>2</v>
      </c>
      <c r="E102" s="10" t="str">
        <f aca="false">INDEX(Dim_Department!$B$2:$B$5,MATCH(D102,Dim_Department!$A$2:$A$5,0))</f>
        <v>DEMS</v>
      </c>
      <c r="F102" s="10" t="s">
        <v>116</v>
      </c>
      <c r="G102" s="10"/>
      <c r="H102" s="10" t="s">
        <v>404</v>
      </c>
      <c r="I102" s="11" t="n">
        <v>45658</v>
      </c>
      <c r="J102" s="11" t="n">
        <v>46022</v>
      </c>
      <c r="K102" s="12" t="s">
        <v>405</v>
      </c>
      <c r="L102" s="10"/>
      <c r="M102" s="10"/>
      <c r="N102" s="12" t="s">
        <v>406</v>
      </c>
      <c r="O102" s="13"/>
      <c r="P102" s="13"/>
      <c r="Q102" s="10" t="s">
        <v>120</v>
      </c>
      <c r="R102" s="12" t="s">
        <v>407</v>
      </c>
      <c r="S102" s="10" t="n">
        <v>4</v>
      </c>
      <c r="T102" s="10" t="s">
        <v>78</v>
      </c>
      <c r="U102" s="12" t="s">
        <v>434</v>
      </c>
      <c r="V102" s="10" t="n">
        <f aca="false">COUNTIF(Bridge_Trip_Site!$A$2:$A$2000,A102)</f>
        <v>1</v>
      </c>
      <c r="W102" s="16" t="n">
        <f aca="false">README!$B$15</f>
        <v>3600</v>
      </c>
      <c r="X102" s="14" t="str">
        <f aca="false">IF(AND(ISNUMBER(M102),ISNUMBER(W102)),M102*W102,"")</f>
        <v/>
      </c>
      <c r="Y102" s="10"/>
      <c r="Z102" s="12" t="s">
        <v>428</v>
      </c>
      <c r="AA102" s="12"/>
      <c r="AB102" s="12" t="s">
        <v>435</v>
      </c>
    </row>
    <row r="103" customFormat="false" ht="23.25" hidden="false" customHeight="true" outlineLevel="0" collapsed="false">
      <c r="A103" s="10" t="s">
        <v>436</v>
      </c>
      <c r="B103" s="10" t="s">
        <v>402</v>
      </c>
      <c r="C103" s="10" t="s">
        <v>403</v>
      </c>
      <c r="D103" s="10" t="n">
        <v>2</v>
      </c>
      <c r="E103" s="10" t="str">
        <f aca="false">INDEX(Dim_Department!$B$2:$B$5,MATCH(D103,Dim_Department!$A$2:$A$5,0))</f>
        <v>DEMS</v>
      </c>
      <c r="F103" s="10" t="s">
        <v>116</v>
      </c>
      <c r="G103" s="10"/>
      <c r="H103" s="10" t="s">
        <v>404</v>
      </c>
      <c r="I103" s="11" t="n">
        <v>45658</v>
      </c>
      <c r="J103" s="11" t="n">
        <v>46022</v>
      </c>
      <c r="K103" s="12" t="s">
        <v>405</v>
      </c>
      <c r="L103" s="10"/>
      <c r="M103" s="10"/>
      <c r="N103" s="12" t="s">
        <v>406</v>
      </c>
      <c r="O103" s="13"/>
      <c r="P103" s="13"/>
      <c r="Q103" s="10" t="s">
        <v>120</v>
      </c>
      <c r="R103" s="12" t="s">
        <v>407</v>
      </c>
      <c r="S103" s="10" t="n">
        <v>4</v>
      </c>
      <c r="T103" s="10" t="s">
        <v>78</v>
      </c>
      <c r="U103" s="12" t="s">
        <v>437</v>
      </c>
      <c r="V103" s="10" t="n">
        <f aca="false">COUNTIF(Bridge_Trip_Site!$A$2:$A$2000,A103)</f>
        <v>1</v>
      </c>
      <c r="W103" s="15" t="n">
        <v>850</v>
      </c>
      <c r="X103" s="14" t="str">
        <f aca="false">IF(AND(ISNUMBER(M103),ISNUMBER(W103)),M103*W103,"")</f>
        <v/>
      </c>
      <c r="Y103" s="10"/>
      <c r="Z103" s="12" t="s">
        <v>409</v>
      </c>
      <c r="AA103" s="12" t="s">
        <v>438</v>
      </c>
      <c r="AB103" s="12" t="s">
        <v>410</v>
      </c>
    </row>
    <row r="104" customFormat="false" ht="23.25" hidden="false" customHeight="true" outlineLevel="0" collapsed="false">
      <c r="A104" s="10" t="s">
        <v>439</v>
      </c>
      <c r="B104" s="10" t="s">
        <v>402</v>
      </c>
      <c r="C104" s="10" t="s">
        <v>403</v>
      </c>
      <c r="D104" s="10" t="n">
        <v>2</v>
      </c>
      <c r="E104" s="10" t="str">
        <f aca="false">INDEX(Dim_Department!$B$2:$B$5,MATCH(D104,Dim_Department!$A$2:$A$5,0))</f>
        <v>DEMS</v>
      </c>
      <c r="F104" s="10" t="s">
        <v>116</v>
      </c>
      <c r="G104" s="10"/>
      <c r="H104" s="10" t="s">
        <v>404</v>
      </c>
      <c r="I104" s="11" t="n">
        <v>45658</v>
      </c>
      <c r="J104" s="11" t="n">
        <v>46022</v>
      </c>
      <c r="K104" s="12" t="s">
        <v>405</v>
      </c>
      <c r="L104" s="10"/>
      <c r="M104" s="10"/>
      <c r="N104" s="12" t="s">
        <v>406</v>
      </c>
      <c r="O104" s="13"/>
      <c r="P104" s="13"/>
      <c r="Q104" s="10" t="s">
        <v>120</v>
      </c>
      <c r="R104" s="12" t="s">
        <v>407</v>
      </c>
      <c r="S104" s="10" t="n">
        <v>6</v>
      </c>
      <c r="T104" s="10" t="s">
        <v>78</v>
      </c>
      <c r="U104" s="12" t="s">
        <v>440</v>
      </c>
      <c r="V104" s="10" t="n">
        <f aca="false">COUNTIF(Bridge_Trip_Site!$A$2:$A$2000,A104)</f>
        <v>1</v>
      </c>
      <c r="W104" s="15" t="n">
        <v>850</v>
      </c>
      <c r="X104" s="14" t="str">
        <f aca="false">IF(AND(ISNUMBER(M104),ISNUMBER(W104)),M104*W104,"")</f>
        <v/>
      </c>
      <c r="Y104" s="10"/>
      <c r="Z104" s="12" t="s">
        <v>409</v>
      </c>
      <c r="AA104" s="12" t="s">
        <v>135</v>
      </c>
      <c r="AB104" s="12" t="s">
        <v>410</v>
      </c>
    </row>
    <row r="105" customFormat="false" ht="23.25" hidden="false" customHeight="true" outlineLevel="0" collapsed="false">
      <c r="A105" s="10" t="s">
        <v>441</v>
      </c>
      <c r="B105" s="10" t="s">
        <v>402</v>
      </c>
      <c r="C105" s="10" t="s">
        <v>403</v>
      </c>
      <c r="D105" s="10" t="n">
        <v>2</v>
      </c>
      <c r="E105" s="10" t="str">
        <f aca="false">INDEX(Dim_Department!$B$2:$B$5,MATCH(D105,Dim_Department!$A$2:$A$5,0))</f>
        <v>DEMS</v>
      </c>
      <c r="F105" s="10" t="s">
        <v>116</v>
      </c>
      <c r="G105" s="10"/>
      <c r="H105" s="10" t="s">
        <v>404</v>
      </c>
      <c r="I105" s="11" t="n">
        <v>45658</v>
      </c>
      <c r="J105" s="11" t="n">
        <v>46022</v>
      </c>
      <c r="K105" s="12" t="s">
        <v>405</v>
      </c>
      <c r="L105" s="10"/>
      <c r="M105" s="10"/>
      <c r="N105" s="12" t="s">
        <v>406</v>
      </c>
      <c r="O105" s="13"/>
      <c r="P105" s="13"/>
      <c r="Q105" s="10" t="s">
        <v>120</v>
      </c>
      <c r="R105" s="12" t="s">
        <v>407</v>
      </c>
      <c r="S105" s="10" t="n">
        <v>5</v>
      </c>
      <c r="T105" s="10" t="s">
        <v>78</v>
      </c>
      <c r="U105" s="12" t="s">
        <v>442</v>
      </c>
      <c r="V105" s="10" t="n">
        <f aca="false">COUNTIF(Bridge_Trip_Site!$A$2:$A$2000,A105)</f>
        <v>1</v>
      </c>
      <c r="W105" s="15" t="n">
        <v>850</v>
      </c>
      <c r="X105" s="14" t="str">
        <f aca="false">IF(AND(ISNUMBER(M105),ISNUMBER(W105)),M105*W105,"")</f>
        <v/>
      </c>
      <c r="Y105" s="10"/>
      <c r="Z105" s="12" t="s">
        <v>409</v>
      </c>
      <c r="AA105" s="12" t="s">
        <v>140</v>
      </c>
      <c r="AB105" s="12" t="s">
        <v>410</v>
      </c>
    </row>
    <row r="106" customFormat="false" ht="23.25" hidden="false" customHeight="true" outlineLevel="0" collapsed="false">
      <c r="A106" s="10" t="s">
        <v>443</v>
      </c>
      <c r="B106" s="10" t="s">
        <v>402</v>
      </c>
      <c r="C106" s="10" t="s">
        <v>403</v>
      </c>
      <c r="D106" s="10" t="n">
        <v>2</v>
      </c>
      <c r="E106" s="10" t="str">
        <f aca="false">INDEX(Dim_Department!$B$2:$B$5,MATCH(D106,Dim_Department!$A$2:$A$5,0))</f>
        <v>DEMS</v>
      </c>
      <c r="F106" s="10" t="s">
        <v>116</v>
      </c>
      <c r="G106" s="10"/>
      <c r="H106" s="10" t="s">
        <v>404</v>
      </c>
      <c r="I106" s="11" t="n">
        <v>45658</v>
      </c>
      <c r="J106" s="11" t="n">
        <v>46022</v>
      </c>
      <c r="K106" s="12" t="s">
        <v>405</v>
      </c>
      <c r="L106" s="10"/>
      <c r="M106" s="10"/>
      <c r="N106" s="12" t="s">
        <v>406</v>
      </c>
      <c r="O106" s="13"/>
      <c r="P106" s="13"/>
      <c r="Q106" s="10" t="s">
        <v>120</v>
      </c>
      <c r="R106" s="12" t="s">
        <v>407</v>
      </c>
      <c r="S106" s="10" t="n">
        <v>4</v>
      </c>
      <c r="T106" s="10" t="s">
        <v>78</v>
      </c>
      <c r="U106" s="12" t="s">
        <v>444</v>
      </c>
      <c r="V106" s="10" t="n">
        <f aca="false">COUNTIF(Bridge_Trip_Site!$A$2:$A$2000,A106)</f>
        <v>1</v>
      </c>
      <c r="W106" s="16" t="n">
        <f aca="false">README!$B$15</f>
        <v>3600</v>
      </c>
      <c r="X106" s="14" t="str">
        <f aca="false">IF(AND(ISNUMBER(M106),ISNUMBER(W106)),M106*W106,"")</f>
        <v/>
      </c>
      <c r="Y106" s="10"/>
      <c r="Z106" s="12" t="s">
        <v>428</v>
      </c>
      <c r="AA106" s="12"/>
      <c r="AB106" s="12" t="s">
        <v>445</v>
      </c>
    </row>
    <row r="107" customFormat="false" ht="23.25" hidden="false" customHeight="true" outlineLevel="0" collapsed="false">
      <c r="A107" s="10" t="s">
        <v>446</v>
      </c>
      <c r="B107" s="10" t="s">
        <v>402</v>
      </c>
      <c r="C107" s="10" t="s">
        <v>403</v>
      </c>
      <c r="D107" s="10" t="n">
        <v>2</v>
      </c>
      <c r="E107" s="10" t="str">
        <f aca="false">INDEX(Dim_Department!$B$2:$B$5,MATCH(D107,Dim_Department!$A$2:$A$5,0))</f>
        <v>DEMS</v>
      </c>
      <c r="F107" s="10" t="s">
        <v>116</v>
      </c>
      <c r="G107" s="10"/>
      <c r="H107" s="10" t="s">
        <v>404</v>
      </c>
      <c r="I107" s="11" t="n">
        <v>45658</v>
      </c>
      <c r="J107" s="11" t="n">
        <v>46022</v>
      </c>
      <c r="K107" s="12" t="s">
        <v>405</v>
      </c>
      <c r="L107" s="10"/>
      <c r="M107" s="10"/>
      <c r="N107" s="12" t="s">
        <v>406</v>
      </c>
      <c r="O107" s="13"/>
      <c r="P107" s="13"/>
      <c r="Q107" s="10" t="s">
        <v>120</v>
      </c>
      <c r="R107" s="12" t="s">
        <v>407</v>
      </c>
      <c r="S107" s="10" t="n">
        <v>1</v>
      </c>
      <c r="T107" s="10" t="s">
        <v>78</v>
      </c>
      <c r="U107" s="12" t="s">
        <v>447</v>
      </c>
      <c r="V107" s="10" t="n">
        <f aca="false">COUNTIF(Bridge_Trip_Site!$A$2:$A$2000,A107)</f>
        <v>1</v>
      </c>
      <c r="W107" s="16" t="n">
        <f aca="false">README!$B$15</f>
        <v>3600</v>
      </c>
      <c r="X107" s="14" t="str">
        <f aca="false">IF(AND(ISNUMBER(M107),ISNUMBER(W107)),M107*W107,"")</f>
        <v/>
      </c>
      <c r="Y107" s="10"/>
      <c r="Z107" s="12" t="s">
        <v>428</v>
      </c>
      <c r="AA107" s="12"/>
      <c r="AB107" s="12" t="s">
        <v>429</v>
      </c>
    </row>
    <row r="108" customFormat="false" ht="23.25" hidden="false" customHeight="true" outlineLevel="0" collapsed="false">
      <c r="A108" s="10" t="s">
        <v>448</v>
      </c>
      <c r="B108" s="10" t="s">
        <v>402</v>
      </c>
      <c r="C108" s="10" t="s">
        <v>403</v>
      </c>
      <c r="D108" s="10" t="n">
        <v>3</v>
      </c>
      <c r="E108" s="10" t="str">
        <f aca="false">INDEX(Dim_Department!$B$2:$B$5,MATCH(D108,Dim_Department!$A$2:$A$5,0))</f>
        <v>MITS</v>
      </c>
      <c r="F108" s="10" t="s">
        <v>116</v>
      </c>
      <c r="G108" s="10"/>
      <c r="H108" s="10" t="s">
        <v>404</v>
      </c>
      <c r="I108" s="11" t="n">
        <v>45658</v>
      </c>
      <c r="J108" s="11" t="n">
        <v>46022</v>
      </c>
      <c r="K108" s="12" t="s">
        <v>449</v>
      </c>
      <c r="L108" s="10"/>
      <c r="M108" s="10"/>
      <c r="N108" s="12" t="s">
        <v>406</v>
      </c>
      <c r="O108" s="13" t="n">
        <v>0.270833333333333</v>
      </c>
      <c r="P108" s="13" t="n">
        <v>0.666666666666667</v>
      </c>
      <c r="Q108" s="10" t="s">
        <v>76</v>
      </c>
      <c r="R108" s="12" t="s">
        <v>167</v>
      </c>
      <c r="S108" s="10" t="s">
        <v>450</v>
      </c>
      <c r="T108" s="10" t="s">
        <v>78</v>
      </c>
      <c r="U108" s="12" t="s">
        <v>408</v>
      </c>
      <c r="V108" s="10" t="n">
        <f aca="false">COUNTIF(Bridge_Trip_Site!$A$2:$A$2000,A108)</f>
        <v>1</v>
      </c>
      <c r="W108" s="15" t="n">
        <v>850</v>
      </c>
      <c r="X108" s="14" t="str">
        <f aca="false">IF(AND(ISNUMBER(M108),ISNUMBER(W108)),M108*W108,"")</f>
        <v/>
      </c>
      <c r="Y108" s="10"/>
      <c r="Z108" s="12" t="s">
        <v>409</v>
      </c>
      <c r="AA108" s="12" t="s">
        <v>451</v>
      </c>
      <c r="AB108" s="12" t="s">
        <v>410</v>
      </c>
    </row>
    <row r="109" customFormat="false" ht="23.25" hidden="false" customHeight="true" outlineLevel="0" collapsed="false">
      <c r="A109" s="10" t="s">
        <v>452</v>
      </c>
      <c r="B109" s="10" t="s">
        <v>402</v>
      </c>
      <c r="C109" s="10" t="s">
        <v>403</v>
      </c>
      <c r="D109" s="10" t="n">
        <v>3</v>
      </c>
      <c r="E109" s="10" t="str">
        <f aca="false">INDEX(Dim_Department!$B$2:$B$5,MATCH(D109,Dim_Department!$A$2:$A$5,0))</f>
        <v>MITS</v>
      </c>
      <c r="F109" s="10" t="s">
        <v>116</v>
      </c>
      <c r="G109" s="10"/>
      <c r="H109" s="10" t="s">
        <v>404</v>
      </c>
      <c r="I109" s="11" t="n">
        <v>45658</v>
      </c>
      <c r="J109" s="11" t="n">
        <v>46022</v>
      </c>
      <c r="K109" s="12" t="s">
        <v>449</v>
      </c>
      <c r="L109" s="10"/>
      <c r="M109" s="10"/>
      <c r="N109" s="12" t="s">
        <v>406</v>
      </c>
      <c r="O109" s="13" t="n">
        <v>0.291666666666667</v>
      </c>
      <c r="P109" s="13" t="n">
        <v>0.666666666666667</v>
      </c>
      <c r="Q109" s="10" t="s">
        <v>76</v>
      </c>
      <c r="R109" s="12" t="s">
        <v>151</v>
      </c>
      <c r="S109" s="10" t="s">
        <v>450</v>
      </c>
      <c r="T109" s="10" t="s">
        <v>78</v>
      </c>
      <c r="U109" s="12" t="s">
        <v>416</v>
      </c>
      <c r="V109" s="10" t="n">
        <f aca="false">COUNTIF(Bridge_Trip_Site!$A$2:$A$2000,A109)</f>
        <v>1</v>
      </c>
      <c r="W109" s="15" t="n">
        <v>780</v>
      </c>
      <c r="X109" s="14" t="str">
        <f aca="false">IF(AND(ISNUMBER(M109),ISNUMBER(W109)),M109*W109,"")</f>
        <v/>
      </c>
      <c r="Y109" s="10"/>
      <c r="Z109" s="12" t="s">
        <v>409</v>
      </c>
      <c r="AA109" s="12" t="s">
        <v>453</v>
      </c>
      <c r="AB109" s="12" t="s">
        <v>454</v>
      </c>
    </row>
    <row r="110" customFormat="false" ht="23.25" hidden="false" customHeight="true" outlineLevel="0" collapsed="false">
      <c r="A110" s="10" t="s">
        <v>455</v>
      </c>
      <c r="B110" s="10" t="s">
        <v>402</v>
      </c>
      <c r="C110" s="10" t="s">
        <v>403</v>
      </c>
      <c r="D110" s="10" t="n">
        <v>3</v>
      </c>
      <c r="E110" s="10" t="str">
        <f aca="false">INDEX(Dim_Department!$B$2:$B$5,MATCH(D110,Dim_Department!$A$2:$A$5,0))</f>
        <v>MITS</v>
      </c>
      <c r="F110" s="10" t="s">
        <v>116</v>
      </c>
      <c r="G110" s="10"/>
      <c r="H110" s="10" t="s">
        <v>404</v>
      </c>
      <c r="I110" s="11" t="n">
        <v>45658</v>
      </c>
      <c r="J110" s="11" t="n">
        <v>46022</v>
      </c>
      <c r="K110" s="12" t="s">
        <v>449</v>
      </c>
      <c r="L110" s="10"/>
      <c r="M110" s="10"/>
      <c r="N110" s="12" t="s">
        <v>406</v>
      </c>
      <c r="O110" s="13"/>
      <c r="P110" s="13"/>
      <c r="Q110" s="10" t="s">
        <v>76</v>
      </c>
      <c r="R110" s="12" t="s">
        <v>456</v>
      </c>
      <c r="S110" s="10" t="s">
        <v>457</v>
      </c>
      <c r="T110" s="10" t="s">
        <v>78</v>
      </c>
      <c r="U110" s="12" t="s">
        <v>458</v>
      </c>
      <c r="V110" s="10" t="n">
        <f aca="false">COUNTIF(Bridge_Trip_Site!$A$2:$A$2000,A110)</f>
        <v>1</v>
      </c>
      <c r="W110" s="15" t="n">
        <v>2300</v>
      </c>
      <c r="X110" s="14" t="str">
        <f aca="false">IF(AND(ISNUMBER(M110),ISNUMBER(W110)),M110*W110,"")</f>
        <v/>
      </c>
      <c r="Y110" s="10"/>
      <c r="Z110" s="12" t="s">
        <v>413</v>
      </c>
      <c r="AA110" s="12" t="s">
        <v>264</v>
      </c>
      <c r="AB110" s="12" t="s">
        <v>459</v>
      </c>
    </row>
    <row r="111" customFormat="false" ht="23.25" hidden="false" customHeight="true" outlineLevel="0" collapsed="false">
      <c r="A111" s="10" t="s">
        <v>460</v>
      </c>
      <c r="B111" s="10" t="s">
        <v>402</v>
      </c>
      <c r="C111" s="10" t="s">
        <v>403</v>
      </c>
      <c r="D111" s="10" t="n">
        <v>3</v>
      </c>
      <c r="E111" s="10" t="str">
        <f aca="false">INDEX(Dim_Department!$B$2:$B$5,MATCH(D111,Dim_Department!$A$2:$A$5,0))</f>
        <v>MITS</v>
      </c>
      <c r="F111" s="10" t="s">
        <v>116</v>
      </c>
      <c r="G111" s="10"/>
      <c r="H111" s="10" t="s">
        <v>404</v>
      </c>
      <c r="I111" s="11" t="n">
        <v>45658</v>
      </c>
      <c r="J111" s="11" t="n">
        <v>46022</v>
      </c>
      <c r="K111" s="12" t="s">
        <v>449</v>
      </c>
      <c r="L111" s="10"/>
      <c r="M111" s="10"/>
      <c r="N111" s="12" t="s">
        <v>406</v>
      </c>
      <c r="O111" s="13"/>
      <c r="P111" s="13"/>
      <c r="Q111" s="10" t="s">
        <v>76</v>
      </c>
      <c r="R111" s="12" t="s">
        <v>456</v>
      </c>
      <c r="S111" s="10" t="s">
        <v>457</v>
      </c>
      <c r="T111" s="10" t="s">
        <v>78</v>
      </c>
      <c r="U111" s="12" t="s">
        <v>440</v>
      </c>
      <c r="V111" s="10" t="n">
        <f aca="false">COUNTIF(Bridge_Trip_Site!$A$2:$A$2000,A111)</f>
        <v>1</v>
      </c>
      <c r="W111" s="15" t="n">
        <v>400</v>
      </c>
      <c r="X111" s="14" t="str">
        <f aca="false">IF(AND(ISNUMBER(M111),ISNUMBER(W111)),M111*W111,"")</f>
        <v/>
      </c>
      <c r="Y111" s="10"/>
      <c r="Z111" s="12" t="s">
        <v>413</v>
      </c>
      <c r="AA111" s="12" t="s">
        <v>250</v>
      </c>
      <c r="AB111" s="12" t="s">
        <v>461</v>
      </c>
    </row>
    <row r="112" customFormat="false" ht="23.25" hidden="false" customHeight="true" outlineLevel="0" collapsed="false">
      <c r="A112" s="10" t="s">
        <v>462</v>
      </c>
      <c r="B112" s="10" t="s">
        <v>402</v>
      </c>
      <c r="C112" s="10" t="s">
        <v>403</v>
      </c>
      <c r="D112" s="10" t="n">
        <v>3</v>
      </c>
      <c r="E112" s="10" t="str">
        <f aca="false">INDEX(Dim_Department!$B$2:$B$5,MATCH(D112,Dim_Department!$A$2:$A$5,0))</f>
        <v>MITS</v>
      </c>
      <c r="F112" s="10" t="s">
        <v>116</v>
      </c>
      <c r="G112" s="10"/>
      <c r="H112" s="10" t="s">
        <v>404</v>
      </c>
      <c r="I112" s="11" t="n">
        <v>45658</v>
      </c>
      <c r="J112" s="11" t="n">
        <v>46022</v>
      </c>
      <c r="K112" s="12" t="s">
        <v>449</v>
      </c>
      <c r="L112" s="10"/>
      <c r="M112" s="10"/>
      <c r="N112" s="12" t="s">
        <v>406</v>
      </c>
      <c r="O112" s="13"/>
      <c r="P112" s="13"/>
      <c r="Q112" s="10" t="s">
        <v>76</v>
      </c>
      <c r="R112" s="12" t="s">
        <v>456</v>
      </c>
      <c r="S112" s="10" t="s">
        <v>457</v>
      </c>
      <c r="T112" s="10" t="s">
        <v>78</v>
      </c>
      <c r="U112" s="12" t="s">
        <v>419</v>
      </c>
      <c r="V112" s="10" t="n">
        <f aca="false">COUNTIF(Bridge_Trip_Site!$A$2:$A$2000,A112)</f>
        <v>1</v>
      </c>
      <c r="W112" s="15" t="n">
        <v>780</v>
      </c>
      <c r="X112" s="14" t="str">
        <f aca="false">IF(AND(ISNUMBER(M112),ISNUMBER(W112)),M112*W112,"")</f>
        <v/>
      </c>
      <c r="Y112" s="10"/>
      <c r="Z112" s="12" t="s">
        <v>409</v>
      </c>
      <c r="AA112" s="12" t="s">
        <v>463</v>
      </c>
      <c r="AB112" s="12" t="s">
        <v>464</v>
      </c>
    </row>
    <row r="113" customFormat="false" ht="23.25" hidden="false" customHeight="true" outlineLevel="0" collapsed="false">
      <c r="A113" s="10" t="s">
        <v>465</v>
      </c>
      <c r="B113" s="10" t="s">
        <v>402</v>
      </c>
      <c r="C113" s="10" t="s">
        <v>403</v>
      </c>
      <c r="D113" s="10" t="n">
        <v>3</v>
      </c>
      <c r="E113" s="10" t="str">
        <f aca="false">INDEX(Dim_Department!$B$2:$B$5,MATCH(D113,Dim_Department!$A$2:$A$5,0))</f>
        <v>MITS</v>
      </c>
      <c r="F113" s="10" t="s">
        <v>116</v>
      </c>
      <c r="G113" s="10"/>
      <c r="H113" s="10" t="s">
        <v>404</v>
      </c>
      <c r="I113" s="11" t="n">
        <v>45658</v>
      </c>
      <c r="J113" s="11" t="n">
        <v>46022</v>
      </c>
      <c r="K113" s="12" t="s">
        <v>449</v>
      </c>
      <c r="L113" s="10"/>
      <c r="M113" s="10"/>
      <c r="N113" s="12" t="s">
        <v>406</v>
      </c>
      <c r="O113" s="13"/>
      <c r="P113" s="13"/>
      <c r="Q113" s="10" t="s">
        <v>76</v>
      </c>
      <c r="R113" s="12" t="s">
        <v>456</v>
      </c>
      <c r="S113" s="10" t="s">
        <v>457</v>
      </c>
      <c r="T113" s="10" t="s">
        <v>78</v>
      </c>
      <c r="U113" s="12" t="s">
        <v>427</v>
      </c>
      <c r="V113" s="10" t="n">
        <f aca="false">COUNTIF(Bridge_Trip_Site!$A$2:$A$2000,A113)</f>
        <v>1</v>
      </c>
      <c r="W113" s="15" t="n">
        <v>850</v>
      </c>
      <c r="X113" s="14" t="str">
        <f aca="false">IF(AND(ISNUMBER(M113),ISNUMBER(W113)),M113*W113,"")</f>
        <v/>
      </c>
      <c r="Y113" s="10"/>
      <c r="Z113" s="12" t="s">
        <v>409</v>
      </c>
      <c r="AA113" s="12" t="s">
        <v>162</v>
      </c>
      <c r="AB113" s="12" t="s">
        <v>410</v>
      </c>
    </row>
    <row r="114" customFormat="false" ht="23.25" hidden="false" customHeight="true" outlineLevel="0" collapsed="false">
      <c r="A114" s="10" t="s">
        <v>466</v>
      </c>
      <c r="B114" s="10" t="s">
        <v>402</v>
      </c>
      <c r="C114" s="10" t="s">
        <v>403</v>
      </c>
      <c r="D114" s="10" t="n">
        <v>3</v>
      </c>
      <c r="E114" s="10" t="str">
        <f aca="false">INDEX(Dim_Department!$B$2:$B$5,MATCH(D114,Dim_Department!$A$2:$A$5,0))</f>
        <v>MITS</v>
      </c>
      <c r="F114" s="10" t="s">
        <v>116</v>
      </c>
      <c r="G114" s="10"/>
      <c r="H114" s="10" t="s">
        <v>404</v>
      </c>
      <c r="I114" s="11" t="n">
        <v>45658</v>
      </c>
      <c r="J114" s="11" t="n">
        <v>46022</v>
      </c>
      <c r="K114" s="12" t="s">
        <v>449</v>
      </c>
      <c r="L114" s="10"/>
      <c r="M114" s="10"/>
      <c r="N114" s="12" t="s">
        <v>406</v>
      </c>
      <c r="O114" s="13"/>
      <c r="P114" s="13"/>
      <c r="Q114" s="10" t="s">
        <v>76</v>
      </c>
      <c r="R114" s="12" t="s">
        <v>456</v>
      </c>
      <c r="S114" s="10" t="s">
        <v>467</v>
      </c>
      <c r="T114" s="10" t="s">
        <v>78</v>
      </c>
      <c r="U114" s="12" t="s">
        <v>424</v>
      </c>
      <c r="V114" s="10" t="n">
        <f aca="false">COUNTIF(Bridge_Trip_Site!$A$2:$A$2000,A114)</f>
        <v>1</v>
      </c>
      <c r="W114" s="15" t="n">
        <v>850</v>
      </c>
      <c r="X114" s="14" t="str">
        <f aca="false">IF(AND(ISNUMBER(M114),ISNUMBER(W114)),M114*W114,"")</f>
        <v/>
      </c>
      <c r="Y114" s="10"/>
      <c r="Z114" s="12" t="s">
        <v>409</v>
      </c>
      <c r="AA114" s="12" t="s">
        <v>468</v>
      </c>
      <c r="AB114" s="12" t="s">
        <v>469</v>
      </c>
    </row>
    <row r="115" customFormat="false" ht="23.25" hidden="false" customHeight="true" outlineLevel="0" collapsed="false">
      <c r="A115" s="10" t="s">
        <v>470</v>
      </c>
      <c r="B115" s="10" t="s">
        <v>402</v>
      </c>
      <c r="C115" s="10" t="s">
        <v>403</v>
      </c>
      <c r="D115" s="10" t="n">
        <v>3</v>
      </c>
      <c r="E115" s="10" t="str">
        <f aca="false">INDEX(Dim_Department!$B$2:$B$5,MATCH(D115,Dim_Department!$A$2:$A$5,0))</f>
        <v>MITS</v>
      </c>
      <c r="F115" s="10" t="s">
        <v>116</v>
      </c>
      <c r="G115" s="10"/>
      <c r="H115" s="10" t="s">
        <v>404</v>
      </c>
      <c r="I115" s="11" t="n">
        <v>45658</v>
      </c>
      <c r="J115" s="11" t="n">
        <v>46022</v>
      </c>
      <c r="K115" s="12" t="s">
        <v>449</v>
      </c>
      <c r="L115" s="10"/>
      <c r="M115" s="10"/>
      <c r="N115" s="12" t="s">
        <v>406</v>
      </c>
      <c r="O115" s="13"/>
      <c r="P115" s="13"/>
      <c r="Q115" s="10" t="s">
        <v>76</v>
      </c>
      <c r="R115" s="12" t="s">
        <v>456</v>
      </c>
      <c r="S115" s="10" t="s">
        <v>457</v>
      </c>
      <c r="T115" s="10" t="s">
        <v>78</v>
      </c>
      <c r="U115" s="12" t="s">
        <v>412</v>
      </c>
      <c r="V115" s="10" t="n">
        <f aca="false">COUNTIF(Bridge_Trip_Site!$A$2:$A$2000,A115)</f>
        <v>1</v>
      </c>
      <c r="W115" s="15" t="n">
        <v>850</v>
      </c>
      <c r="X115" s="14" t="str">
        <f aca="false">IF(AND(ISNUMBER(M115),ISNUMBER(W115)),M115*W115,"")</f>
        <v/>
      </c>
      <c r="Y115" s="10"/>
      <c r="Z115" s="12" t="s">
        <v>409</v>
      </c>
      <c r="AA115" s="12" t="s">
        <v>228</v>
      </c>
      <c r="AB115" s="12" t="s">
        <v>410</v>
      </c>
    </row>
    <row r="116" customFormat="false" ht="23.25" hidden="false" customHeight="true" outlineLevel="0" collapsed="false">
      <c r="A116" s="10" t="s">
        <v>471</v>
      </c>
      <c r="B116" s="10" t="s">
        <v>402</v>
      </c>
      <c r="C116" s="10" t="s">
        <v>403</v>
      </c>
      <c r="D116" s="10" t="n">
        <v>3</v>
      </c>
      <c r="E116" s="10" t="str">
        <f aca="false">INDEX(Dim_Department!$B$2:$B$5,MATCH(D116,Dim_Department!$A$2:$A$5,0))</f>
        <v>MITS</v>
      </c>
      <c r="F116" s="10" t="s">
        <v>116</v>
      </c>
      <c r="G116" s="10"/>
      <c r="H116" s="10" t="s">
        <v>404</v>
      </c>
      <c r="I116" s="11" t="n">
        <v>45658</v>
      </c>
      <c r="J116" s="11" t="n">
        <v>46022</v>
      </c>
      <c r="K116" s="12" t="s">
        <v>449</v>
      </c>
      <c r="L116" s="10"/>
      <c r="M116" s="10"/>
      <c r="N116" s="12" t="s">
        <v>406</v>
      </c>
      <c r="O116" s="13"/>
      <c r="P116" s="13"/>
      <c r="Q116" s="10" t="s">
        <v>76</v>
      </c>
      <c r="R116" s="12" t="s">
        <v>456</v>
      </c>
      <c r="S116" s="10" t="s">
        <v>457</v>
      </c>
      <c r="T116" s="10" t="s">
        <v>78</v>
      </c>
      <c r="U116" s="12" t="s">
        <v>422</v>
      </c>
      <c r="V116" s="10" t="n">
        <f aca="false">COUNTIF(Bridge_Trip_Site!$A$2:$A$2000,A116)</f>
        <v>1</v>
      </c>
      <c r="W116" s="15" t="n">
        <v>490</v>
      </c>
      <c r="X116" s="14" t="str">
        <f aca="false">IF(AND(ISNUMBER(M116),ISNUMBER(W116)),M116*W116,"")</f>
        <v/>
      </c>
      <c r="Y116" s="10"/>
      <c r="Z116" s="12" t="s">
        <v>413</v>
      </c>
      <c r="AA116" s="12" t="s">
        <v>258</v>
      </c>
      <c r="AB116" s="12" t="s">
        <v>472</v>
      </c>
    </row>
    <row r="117" customFormat="false" ht="23.25" hidden="false" customHeight="true" outlineLevel="0" collapsed="false">
      <c r="A117" s="10" t="s">
        <v>473</v>
      </c>
      <c r="B117" s="10" t="s">
        <v>402</v>
      </c>
      <c r="C117" s="10" t="s">
        <v>403</v>
      </c>
      <c r="D117" s="10" t="n">
        <v>3</v>
      </c>
      <c r="E117" s="10" t="str">
        <f aca="false">INDEX(Dim_Department!$B$2:$B$5,MATCH(D117,Dim_Department!$A$2:$A$5,0))</f>
        <v>MITS</v>
      </c>
      <c r="F117" s="10" t="s">
        <v>116</v>
      </c>
      <c r="G117" s="10"/>
      <c r="H117" s="10" t="s">
        <v>404</v>
      </c>
      <c r="I117" s="11" t="n">
        <v>45658</v>
      </c>
      <c r="J117" s="11" t="n">
        <v>46022</v>
      </c>
      <c r="K117" s="12" t="s">
        <v>449</v>
      </c>
      <c r="L117" s="10"/>
      <c r="M117" s="10"/>
      <c r="N117" s="12" t="s">
        <v>406</v>
      </c>
      <c r="O117" s="13"/>
      <c r="P117" s="13"/>
      <c r="Q117" s="10" t="s">
        <v>76</v>
      </c>
      <c r="R117" s="12" t="s">
        <v>456</v>
      </c>
      <c r="S117" s="10" t="s">
        <v>474</v>
      </c>
      <c r="T117" s="10" t="s">
        <v>78</v>
      </c>
      <c r="U117" s="12" t="s">
        <v>475</v>
      </c>
      <c r="V117" s="10" t="n">
        <f aca="false">COUNTIF(Bridge_Trip_Site!$A$2:$A$2000,A117)</f>
        <v>1</v>
      </c>
      <c r="W117" s="16" t="n">
        <f aca="false">README!$B$15</f>
        <v>3600</v>
      </c>
      <c r="X117" s="14" t="str">
        <f aca="false">IF(AND(ISNUMBER(M117),ISNUMBER(W117)),M117*W117,"")</f>
        <v/>
      </c>
      <c r="Y117" s="10"/>
      <c r="Z117" s="12" t="s">
        <v>428</v>
      </c>
      <c r="AA117" s="12"/>
      <c r="AB117" s="12" t="s">
        <v>476</v>
      </c>
    </row>
    <row r="118" customFormat="false" ht="23.25" hidden="false" customHeight="true" outlineLevel="0" collapsed="false">
      <c r="A118" s="10" t="s">
        <v>477</v>
      </c>
      <c r="B118" s="10" t="s">
        <v>402</v>
      </c>
      <c r="C118" s="10" t="s">
        <v>403</v>
      </c>
      <c r="D118" s="10" t="n">
        <v>3</v>
      </c>
      <c r="E118" s="10" t="str">
        <f aca="false">INDEX(Dim_Department!$B$2:$B$5,MATCH(D118,Dim_Department!$A$2:$A$5,0))</f>
        <v>MITS</v>
      </c>
      <c r="F118" s="10" t="s">
        <v>116</v>
      </c>
      <c r="G118" s="10"/>
      <c r="H118" s="10" t="s">
        <v>404</v>
      </c>
      <c r="I118" s="11" t="n">
        <v>45658</v>
      </c>
      <c r="J118" s="11" t="n">
        <v>46022</v>
      </c>
      <c r="K118" s="12" t="s">
        <v>449</v>
      </c>
      <c r="L118" s="10"/>
      <c r="M118" s="10"/>
      <c r="N118" s="12" t="s">
        <v>406</v>
      </c>
      <c r="O118" s="13"/>
      <c r="P118" s="13"/>
      <c r="Q118" s="10" t="s">
        <v>76</v>
      </c>
      <c r="R118" s="12" t="s">
        <v>456</v>
      </c>
      <c r="S118" s="10" t="s">
        <v>478</v>
      </c>
      <c r="T118" s="10" t="s">
        <v>78</v>
      </c>
      <c r="U118" s="12" t="s">
        <v>479</v>
      </c>
      <c r="V118" s="10" t="n">
        <f aca="false">COUNTIF(Bridge_Trip_Site!$A$2:$A$2000,A118)</f>
        <v>1</v>
      </c>
      <c r="W118" s="16" t="n">
        <f aca="false">README!$B$15</f>
        <v>3600</v>
      </c>
      <c r="X118" s="14" t="str">
        <f aca="false">IF(AND(ISNUMBER(M118),ISNUMBER(W118)),M118*W118,"")</f>
        <v/>
      </c>
      <c r="Y118" s="10"/>
      <c r="Z118" s="12" t="s">
        <v>428</v>
      </c>
      <c r="AA118" s="12"/>
      <c r="AB118" s="12" t="s">
        <v>429</v>
      </c>
    </row>
    <row r="119" customFormat="false" ht="23.25" hidden="false" customHeight="true" outlineLevel="0" collapsed="false">
      <c r="A119" s="10" t="s">
        <v>480</v>
      </c>
      <c r="B119" s="10" t="s">
        <v>402</v>
      </c>
      <c r="C119" s="10" t="s">
        <v>403</v>
      </c>
      <c r="D119" s="10" t="n">
        <v>3</v>
      </c>
      <c r="E119" s="10" t="str">
        <f aca="false">INDEX(Dim_Department!$B$2:$B$5,MATCH(D119,Dim_Department!$A$2:$A$5,0))</f>
        <v>MITS</v>
      </c>
      <c r="F119" s="10" t="s">
        <v>116</v>
      </c>
      <c r="G119" s="10"/>
      <c r="H119" s="10" t="s">
        <v>404</v>
      </c>
      <c r="I119" s="11" t="n">
        <v>45658</v>
      </c>
      <c r="J119" s="11" t="n">
        <v>46022</v>
      </c>
      <c r="K119" s="12" t="s">
        <v>449</v>
      </c>
      <c r="L119" s="10"/>
      <c r="M119" s="10"/>
      <c r="N119" s="12" t="s">
        <v>406</v>
      </c>
      <c r="O119" s="13"/>
      <c r="P119" s="13"/>
      <c r="Q119" s="10" t="s">
        <v>76</v>
      </c>
      <c r="R119" s="12" t="s">
        <v>456</v>
      </c>
      <c r="S119" s="10" t="s">
        <v>457</v>
      </c>
      <c r="T119" s="10" t="s">
        <v>78</v>
      </c>
      <c r="U119" s="12" t="s">
        <v>481</v>
      </c>
      <c r="V119" s="10" t="n">
        <f aca="false">COUNTIF(Bridge_Trip_Site!$A$2:$A$2000,A119)</f>
        <v>1</v>
      </c>
      <c r="W119" s="16" t="n">
        <f aca="false">README!$B$15</f>
        <v>3600</v>
      </c>
      <c r="X119" s="14" t="str">
        <f aca="false">IF(AND(ISNUMBER(M119),ISNUMBER(W119)),M119*W119,"")</f>
        <v/>
      </c>
      <c r="Y119" s="10"/>
      <c r="Z119" s="12" t="s">
        <v>428</v>
      </c>
      <c r="AA119" s="12"/>
      <c r="AB119" s="12" t="s">
        <v>429</v>
      </c>
    </row>
    <row r="120" customFormat="false" ht="23.25" hidden="false" customHeight="true" outlineLevel="0" collapsed="false">
      <c r="A120" s="10" t="s">
        <v>482</v>
      </c>
      <c r="B120" s="10" t="s">
        <v>402</v>
      </c>
      <c r="C120" s="10" t="s">
        <v>403</v>
      </c>
      <c r="D120" s="10" t="n">
        <v>3</v>
      </c>
      <c r="E120" s="10" t="str">
        <f aca="false">INDEX(Dim_Department!$B$2:$B$5,MATCH(D120,Dim_Department!$A$2:$A$5,0))</f>
        <v>MITS</v>
      </c>
      <c r="F120" s="10" t="s">
        <v>116</v>
      </c>
      <c r="G120" s="10"/>
      <c r="H120" s="10" t="s">
        <v>404</v>
      </c>
      <c r="I120" s="11" t="n">
        <v>45658</v>
      </c>
      <c r="J120" s="11" t="n">
        <v>46022</v>
      </c>
      <c r="K120" s="12" t="s">
        <v>483</v>
      </c>
      <c r="L120" s="10"/>
      <c r="M120" s="10"/>
      <c r="N120" s="12" t="s">
        <v>406</v>
      </c>
      <c r="O120" s="13" t="n">
        <v>0.75</v>
      </c>
      <c r="P120" s="13" t="n">
        <v>0.291666666666667</v>
      </c>
      <c r="Q120" s="10" t="s">
        <v>156</v>
      </c>
      <c r="R120" s="12" t="s">
        <v>157</v>
      </c>
      <c r="S120" s="10" t="s">
        <v>484</v>
      </c>
      <c r="T120" s="10" t="s">
        <v>78</v>
      </c>
      <c r="U120" s="12" t="s">
        <v>416</v>
      </c>
      <c r="V120" s="10" t="n">
        <f aca="false">COUNTIF(Bridge_Trip_Site!$A$2:$A$2000,A120)</f>
        <v>1</v>
      </c>
      <c r="W120" s="15" t="n">
        <v>780</v>
      </c>
      <c r="X120" s="14" t="str">
        <f aca="false">IF(AND(ISNUMBER(M120),ISNUMBER(W120)),M120*W120,"")</f>
        <v/>
      </c>
      <c r="Y120" s="10"/>
      <c r="Z120" s="12" t="s">
        <v>409</v>
      </c>
      <c r="AA120" s="12" t="s">
        <v>453</v>
      </c>
      <c r="AB120" s="12" t="s">
        <v>454</v>
      </c>
    </row>
    <row r="121" customFormat="false" ht="23.25" hidden="false" customHeight="true" outlineLevel="0" collapsed="false">
      <c r="A121" s="10" t="s">
        <v>485</v>
      </c>
      <c r="B121" s="10" t="s">
        <v>402</v>
      </c>
      <c r="C121" s="10" t="s">
        <v>403</v>
      </c>
      <c r="D121" s="10" t="n">
        <v>3</v>
      </c>
      <c r="E121" s="10" t="str">
        <f aca="false">INDEX(Dim_Department!$B$2:$B$5,MATCH(D121,Dim_Department!$A$2:$A$5,0))</f>
        <v>MITS</v>
      </c>
      <c r="F121" s="10" t="s">
        <v>116</v>
      </c>
      <c r="G121" s="10"/>
      <c r="H121" s="10" t="s">
        <v>404</v>
      </c>
      <c r="I121" s="11" t="n">
        <v>45658</v>
      </c>
      <c r="J121" s="11" t="n">
        <v>46022</v>
      </c>
      <c r="K121" s="12" t="s">
        <v>483</v>
      </c>
      <c r="L121" s="10"/>
      <c r="M121" s="10"/>
      <c r="N121" s="12" t="s">
        <v>406</v>
      </c>
      <c r="O121" s="13" t="n">
        <v>0.75</v>
      </c>
      <c r="P121" s="13" t="n">
        <v>0.291666666666667</v>
      </c>
      <c r="Q121" s="10" t="s">
        <v>156</v>
      </c>
      <c r="R121" s="12" t="s">
        <v>157</v>
      </c>
      <c r="S121" s="10" t="s">
        <v>484</v>
      </c>
      <c r="T121" s="10" t="s">
        <v>78</v>
      </c>
      <c r="U121" s="12" t="s">
        <v>408</v>
      </c>
      <c r="V121" s="10" t="n">
        <f aca="false">COUNTIF(Bridge_Trip_Site!$A$2:$A$2000,A121)</f>
        <v>1</v>
      </c>
      <c r="W121" s="15" t="n">
        <v>850</v>
      </c>
      <c r="X121" s="14" t="str">
        <f aca="false">IF(AND(ISNUMBER(M121),ISNUMBER(W121)),M121*W121,"")</f>
        <v/>
      </c>
      <c r="Y121" s="10"/>
      <c r="Z121" s="12" t="s">
        <v>409</v>
      </c>
      <c r="AA121" s="12" t="s">
        <v>451</v>
      </c>
      <c r="AB121" s="12" t="s">
        <v>410</v>
      </c>
    </row>
    <row r="122" customFormat="false" ht="23.25" hidden="false" customHeight="true" outlineLevel="0" collapsed="false">
      <c r="A122" s="10" t="s">
        <v>486</v>
      </c>
      <c r="B122" s="10" t="s">
        <v>402</v>
      </c>
      <c r="C122" s="10" t="s">
        <v>403</v>
      </c>
      <c r="D122" s="10" t="n">
        <v>3</v>
      </c>
      <c r="E122" s="10" t="str">
        <f aca="false">INDEX(Dim_Department!$B$2:$B$5,MATCH(D122,Dim_Department!$A$2:$A$5,0))</f>
        <v>MITS</v>
      </c>
      <c r="F122" s="10" t="s">
        <v>116</v>
      </c>
      <c r="G122" s="10"/>
      <c r="H122" s="10" t="s">
        <v>404</v>
      </c>
      <c r="I122" s="11" t="n">
        <v>45658</v>
      </c>
      <c r="J122" s="11" t="n">
        <v>46022</v>
      </c>
      <c r="K122" s="12" t="s">
        <v>483</v>
      </c>
      <c r="L122" s="10"/>
      <c r="M122" s="10"/>
      <c r="N122" s="12" t="s">
        <v>406</v>
      </c>
      <c r="O122" s="13" t="n">
        <v>0.75</v>
      </c>
      <c r="P122" s="13" t="n">
        <v>0.291666666666667</v>
      </c>
      <c r="Q122" s="10" t="s">
        <v>156</v>
      </c>
      <c r="R122" s="12" t="s">
        <v>157</v>
      </c>
      <c r="S122" s="10" t="s">
        <v>484</v>
      </c>
      <c r="T122" s="10" t="s">
        <v>78</v>
      </c>
      <c r="U122" s="12" t="s">
        <v>419</v>
      </c>
      <c r="V122" s="10" t="n">
        <f aca="false">COUNTIF(Bridge_Trip_Site!$A$2:$A$2000,A122)</f>
        <v>1</v>
      </c>
      <c r="W122" s="15" t="n">
        <v>780</v>
      </c>
      <c r="X122" s="14" t="str">
        <f aca="false">IF(AND(ISNUMBER(M122),ISNUMBER(W122)),M122*W122,"")</f>
        <v/>
      </c>
      <c r="Y122" s="10"/>
      <c r="Z122" s="12" t="s">
        <v>409</v>
      </c>
      <c r="AA122" s="12" t="s">
        <v>463</v>
      </c>
      <c r="AB122" s="12" t="s">
        <v>464</v>
      </c>
    </row>
    <row r="123" customFormat="false" ht="23.25" hidden="false" customHeight="true" outlineLevel="0" collapsed="false">
      <c r="A123" s="10" t="s">
        <v>487</v>
      </c>
      <c r="B123" s="10" t="s">
        <v>402</v>
      </c>
      <c r="C123" s="10" t="s">
        <v>403</v>
      </c>
      <c r="D123" s="10" t="n">
        <v>3</v>
      </c>
      <c r="E123" s="10" t="str">
        <f aca="false">INDEX(Dim_Department!$B$2:$B$5,MATCH(D123,Dim_Department!$A$2:$A$5,0))</f>
        <v>MITS</v>
      </c>
      <c r="F123" s="10" t="s">
        <v>116</v>
      </c>
      <c r="G123" s="10"/>
      <c r="H123" s="10" t="s">
        <v>404</v>
      </c>
      <c r="I123" s="11" t="n">
        <v>45658</v>
      </c>
      <c r="J123" s="11" t="n">
        <v>46022</v>
      </c>
      <c r="K123" s="12" t="s">
        <v>488</v>
      </c>
      <c r="L123" s="10"/>
      <c r="M123" s="10"/>
      <c r="N123" s="12" t="s">
        <v>406</v>
      </c>
      <c r="O123" s="13" t="n">
        <v>0.333333333333333</v>
      </c>
      <c r="P123" s="13" t="n">
        <v>0.666666666666667</v>
      </c>
      <c r="Q123" s="10" t="s">
        <v>489</v>
      </c>
      <c r="R123" s="12" t="s">
        <v>490</v>
      </c>
      <c r="S123" s="10" t="s">
        <v>484</v>
      </c>
      <c r="T123" s="10" t="s">
        <v>78</v>
      </c>
      <c r="U123" s="12" t="s">
        <v>416</v>
      </c>
      <c r="V123" s="10" t="n">
        <f aca="false">COUNTIF(Bridge_Trip_Site!$A$2:$A$2000,A123)</f>
        <v>1</v>
      </c>
      <c r="W123" s="15" t="n">
        <v>780</v>
      </c>
      <c r="X123" s="14" t="str">
        <f aca="false">IF(AND(ISNUMBER(M123),ISNUMBER(W123)),M123*W123,"")</f>
        <v/>
      </c>
      <c r="Y123" s="10"/>
      <c r="Z123" s="12" t="s">
        <v>409</v>
      </c>
      <c r="AA123" s="12" t="s">
        <v>453</v>
      </c>
      <c r="AB123" s="12" t="s">
        <v>454</v>
      </c>
    </row>
    <row r="124" customFormat="false" ht="23.25" hidden="false" customHeight="true" outlineLevel="0" collapsed="false">
      <c r="A124" s="10" t="s">
        <v>491</v>
      </c>
      <c r="B124" s="10" t="s">
        <v>402</v>
      </c>
      <c r="C124" s="10" t="s">
        <v>403</v>
      </c>
      <c r="D124" s="10" t="n">
        <v>3</v>
      </c>
      <c r="E124" s="10" t="str">
        <f aca="false">INDEX(Dim_Department!$B$2:$B$5,MATCH(D124,Dim_Department!$A$2:$A$5,0))</f>
        <v>MITS</v>
      </c>
      <c r="F124" s="10" t="s">
        <v>116</v>
      </c>
      <c r="G124" s="10"/>
      <c r="H124" s="10" t="s">
        <v>404</v>
      </c>
      <c r="I124" s="11" t="n">
        <v>45658</v>
      </c>
      <c r="J124" s="11" t="n">
        <v>46022</v>
      </c>
      <c r="K124" s="12" t="s">
        <v>488</v>
      </c>
      <c r="L124" s="10"/>
      <c r="M124" s="10"/>
      <c r="N124" s="12" t="s">
        <v>406</v>
      </c>
      <c r="O124" s="13" t="n">
        <v>0.333333333333333</v>
      </c>
      <c r="P124" s="13" t="n">
        <v>0.666666666666667</v>
      </c>
      <c r="Q124" s="10" t="s">
        <v>489</v>
      </c>
      <c r="R124" s="12" t="s">
        <v>490</v>
      </c>
      <c r="S124" s="10" t="s">
        <v>484</v>
      </c>
      <c r="T124" s="10" t="s">
        <v>78</v>
      </c>
      <c r="U124" s="12" t="s">
        <v>408</v>
      </c>
      <c r="V124" s="10" t="n">
        <f aca="false">COUNTIF(Bridge_Trip_Site!$A$2:$A$2000,A124)</f>
        <v>1</v>
      </c>
      <c r="W124" s="15" t="n">
        <v>850</v>
      </c>
      <c r="X124" s="14" t="str">
        <f aca="false">IF(AND(ISNUMBER(M124),ISNUMBER(W124)),M124*W124,"")</f>
        <v/>
      </c>
      <c r="Y124" s="10"/>
      <c r="Z124" s="12" t="s">
        <v>409</v>
      </c>
      <c r="AA124" s="12" t="s">
        <v>451</v>
      </c>
      <c r="AB124" s="12" t="s">
        <v>410</v>
      </c>
    </row>
    <row r="125" customFormat="false" ht="23.25" hidden="false" customHeight="true" outlineLevel="0" collapsed="false">
      <c r="A125" s="10" t="s">
        <v>492</v>
      </c>
      <c r="B125" s="10" t="s">
        <v>402</v>
      </c>
      <c r="C125" s="10" t="s">
        <v>403</v>
      </c>
      <c r="D125" s="10" t="n">
        <v>3</v>
      </c>
      <c r="E125" s="10" t="str">
        <f aca="false">INDEX(Dim_Department!$B$2:$B$5,MATCH(D125,Dim_Department!$A$2:$A$5,0))</f>
        <v>MITS</v>
      </c>
      <c r="F125" s="10" t="s">
        <v>116</v>
      </c>
      <c r="G125" s="10"/>
      <c r="H125" s="10" t="s">
        <v>404</v>
      </c>
      <c r="I125" s="11" t="n">
        <v>45658</v>
      </c>
      <c r="J125" s="11" t="n">
        <v>46022</v>
      </c>
      <c r="K125" s="12" t="s">
        <v>488</v>
      </c>
      <c r="L125" s="10"/>
      <c r="M125" s="10"/>
      <c r="N125" s="12" t="s">
        <v>406</v>
      </c>
      <c r="O125" s="13" t="n">
        <v>0.333333333333333</v>
      </c>
      <c r="P125" s="13" t="n">
        <v>0.666666666666667</v>
      </c>
      <c r="Q125" s="10" t="s">
        <v>489</v>
      </c>
      <c r="R125" s="12" t="s">
        <v>490</v>
      </c>
      <c r="S125" s="10" t="s">
        <v>484</v>
      </c>
      <c r="T125" s="10" t="s">
        <v>78</v>
      </c>
      <c r="U125" s="12" t="s">
        <v>419</v>
      </c>
      <c r="V125" s="10" t="n">
        <f aca="false">COUNTIF(Bridge_Trip_Site!$A$2:$A$2000,A125)</f>
        <v>1</v>
      </c>
      <c r="W125" s="15" t="n">
        <v>780</v>
      </c>
      <c r="X125" s="14" t="str">
        <f aca="false">IF(AND(ISNUMBER(M125),ISNUMBER(W125)),M125*W125,"")</f>
        <v/>
      </c>
      <c r="Y125" s="10"/>
      <c r="Z125" s="12" t="s">
        <v>409</v>
      </c>
      <c r="AA125" s="12" t="s">
        <v>463</v>
      </c>
      <c r="AB125" s="12" t="s">
        <v>464</v>
      </c>
    </row>
    <row r="126" customFormat="false" ht="23.25" hidden="false" customHeight="true" outlineLevel="0" collapsed="false">
      <c r="A126" s="10" t="s">
        <v>493</v>
      </c>
      <c r="B126" s="10" t="s">
        <v>402</v>
      </c>
      <c r="C126" s="10" t="s">
        <v>403</v>
      </c>
      <c r="D126" s="10" t="n">
        <v>1</v>
      </c>
      <c r="E126" s="10" t="str">
        <f aca="false">INDEX(Dim_Department!$B$2:$B$5,MATCH(D126,Dim_Department!$A$2:$A$5,0))</f>
        <v>Nursing</v>
      </c>
      <c r="F126" s="10" t="s">
        <v>494</v>
      </c>
      <c r="G126" s="10"/>
      <c r="H126" s="10" t="s">
        <v>404</v>
      </c>
      <c r="I126" s="11" t="n">
        <v>45658</v>
      </c>
      <c r="J126" s="11" t="n">
        <v>46022</v>
      </c>
      <c r="K126" s="12" t="s">
        <v>495</v>
      </c>
      <c r="L126" s="10"/>
      <c r="M126" s="10"/>
      <c r="N126" s="12" t="s">
        <v>406</v>
      </c>
      <c r="O126" s="13"/>
      <c r="P126" s="13"/>
      <c r="Q126" s="10" t="s">
        <v>120</v>
      </c>
      <c r="R126" s="12" t="s">
        <v>496</v>
      </c>
      <c r="S126" s="10" t="s">
        <v>497</v>
      </c>
      <c r="T126" s="10" t="s">
        <v>78</v>
      </c>
      <c r="U126" s="12" t="s">
        <v>498</v>
      </c>
      <c r="V126" s="10" t="n">
        <f aca="false">COUNTIF(Bridge_Trip_Site!$A$2:$A$2000,A126)</f>
        <v>1</v>
      </c>
      <c r="W126" s="16" t="n">
        <f aca="false">README!$B$15</f>
        <v>3600</v>
      </c>
      <c r="X126" s="14" t="str">
        <f aca="false">IF(AND(ISNUMBER(M126),ISNUMBER(W126)),M126*W126,"")</f>
        <v/>
      </c>
      <c r="Y126" s="10"/>
      <c r="Z126" s="12" t="s">
        <v>428</v>
      </c>
      <c r="AA126" s="12"/>
      <c r="AB126" s="12" t="s">
        <v>429</v>
      </c>
    </row>
    <row r="127" customFormat="false" ht="23.25" hidden="false" customHeight="true" outlineLevel="0" collapsed="false">
      <c r="A127" s="10" t="s">
        <v>499</v>
      </c>
      <c r="B127" s="10" t="s">
        <v>402</v>
      </c>
      <c r="C127" s="10" t="s">
        <v>403</v>
      </c>
      <c r="D127" s="10" t="n">
        <v>1</v>
      </c>
      <c r="E127" s="10" t="str">
        <f aca="false">INDEX(Dim_Department!$B$2:$B$5,MATCH(D127,Dim_Department!$A$2:$A$5,0))</f>
        <v>Nursing</v>
      </c>
      <c r="F127" s="10" t="s">
        <v>494</v>
      </c>
      <c r="G127" s="10"/>
      <c r="H127" s="10" t="s">
        <v>404</v>
      </c>
      <c r="I127" s="11" t="n">
        <v>45658</v>
      </c>
      <c r="J127" s="11" t="n">
        <v>46022</v>
      </c>
      <c r="K127" s="12" t="s">
        <v>495</v>
      </c>
      <c r="L127" s="10"/>
      <c r="M127" s="10"/>
      <c r="N127" s="12" t="s">
        <v>406</v>
      </c>
      <c r="O127" s="13"/>
      <c r="P127" s="13"/>
      <c r="Q127" s="10" t="s">
        <v>120</v>
      </c>
      <c r="R127" s="12" t="s">
        <v>496</v>
      </c>
      <c r="S127" s="10" t="s">
        <v>497</v>
      </c>
      <c r="T127" s="10" t="s">
        <v>78</v>
      </c>
      <c r="U127" s="12" t="s">
        <v>500</v>
      </c>
      <c r="V127" s="10" t="n">
        <f aca="false">COUNTIF(Bridge_Trip_Site!$A$2:$A$2000,A127)</f>
        <v>1</v>
      </c>
      <c r="W127" s="15" t="n">
        <v>466.67</v>
      </c>
      <c r="X127" s="14" t="str">
        <f aca="false">IF(AND(ISNUMBER(M127),ISNUMBER(W127)),M127*W127,"")</f>
        <v/>
      </c>
      <c r="Y127" s="10"/>
      <c r="Z127" s="12" t="s">
        <v>413</v>
      </c>
      <c r="AA127" s="12" t="s">
        <v>193</v>
      </c>
      <c r="AB127" s="12" t="s">
        <v>501</v>
      </c>
    </row>
    <row r="128" customFormat="false" ht="23.25" hidden="false" customHeight="true" outlineLevel="0" collapsed="false">
      <c r="A128" s="10" t="s">
        <v>502</v>
      </c>
      <c r="B128" s="10" t="s">
        <v>402</v>
      </c>
      <c r="C128" s="10" t="s">
        <v>403</v>
      </c>
      <c r="D128" s="10" t="n">
        <v>1</v>
      </c>
      <c r="E128" s="10" t="str">
        <f aca="false">INDEX(Dim_Department!$B$2:$B$5,MATCH(D128,Dim_Department!$A$2:$A$5,0))</f>
        <v>Nursing</v>
      </c>
      <c r="F128" s="10" t="s">
        <v>494</v>
      </c>
      <c r="G128" s="10"/>
      <c r="H128" s="10" t="s">
        <v>404</v>
      </c>
      <c r="I128" s="11" t="n">
        <v>45658</v>
      </c>
      <c r="J128" s="11" t="n">
        <v>46022</v>
      </c>
      <c r="K128" s="12" t="s">
        <v>495</v>
      </c>
      <c r="L128" s="10"/>
      <c r="M128" s="10"/>
      <c r="N128" s="12" t="s">
        <v>406</v>
      </c>
      <c r="O128" s="13"/>
      <c r="P128" s="13"/>
      <c r="Q128" s="10" t="s">
        <v>120</v>
      </c>
      <c r="R128" s="12" t="s">
        <v>496</v>
      </c>
      <c r="S128" s="10" t="s">
        <v>497</v>
      </c>
      <c r="T128" s="10" t="s">
        <v>78</v>
      </c>
      <c r="U128" s="12" t="s">
        <v>503</v>
      </c>
      <c r="V128" s="10" t="n">
        <f aca="false">COUNTIF(Bridge_Trip_Site!$A$2:$A$2000,A128)</f>
        <v>1</v>
      </c>
      <c r="W128" s="15" t="n">
        <v>466.67</v>
      </c>
      <c r="X128" s="14" t="str">
        <f aca="false">IF(AND(ISNUMBER(M128),ISNUMBER(W128)),M128*W128,"")</f>
        <v/>
      </c>
      <c r="Y128" s="10"/>
      <c r="Z128" s="12" t="s">
        <v>413</v>
      </c>
      <c r="AA128" s="12" t="s">
        <v>193</v>
      </c>
      <c r="AB128" s="12" t="s">
        <v>501</v>
      </c>
    </row>
    <row r="129" customFormat="false" ht="23.25" hidden="false" customHeight="true" outlineLevel="0" collapsed="false">
      <c r="A129" s="10" t="s">
        <v>504</v>
      </c>
      <c r="B129" s="10" t="s">
        <v>402</v>
      </c>
      <c r="C129" s="10" t="s">
        <v>403</v>
      </c>
      <c r="D129" s="10" t="n">
        <v>1</v>
      </c>
      <c r="E129" s="10" t="str">
        <f aca="false">INDEX(Dim_Department!$B$2:$B$5,MATCH(D129,Dim_Department!$A$2:$A$5,0))</f>
        <v>Nursing</v>
      </c>
      <c r="F129" s="10" t="s">
        <v>494</v>
      </c>
      <c r="G129" s="10"/>
      <c r="H129" s="10" t="s">
        <v>404</v>
      </c>
      <c r="I129" s="11" t="n">
        <v>45658</v>
      </c>
      <c r="J129" s="11" t="n">
        <v>46022</v>
      </c>
      <c r="K129" s="12" t="s">
        <v>495</v>
      </c>
      <c r="L129" s="10"/>
      <c r="M129" s="10"/>
      <c r="N129" s="12" t="s">
        <v>406</v>
      </c>
      <c r="O129" s="13"/>
      <c r="P129" s="13"/>
      <c r="Q129" s="10" t="s">
        <v>120</v>
      </c>
      <c r="R129" s="12" t="s">
        <v>496</v>
      </c>
      <c r="S129" s="10" t="s">
        <v>497</v>
      </c>
      <c r="T129" s="10" t="s">
        <v>78</v>
      </c>
      <c r="U129" s="12" t="s">
        <v>505</v>
      </c>
      <c r="V129" s="10" t="n">
        <f aca="false">COUNTIF(Bridge_Trip_Site!$A$2:$A$2000,A129)</f>
        <v>1</v>
      </c>
      <c r="W129" s="16" t="n">
        <f aca="false">README!$B$15</f>
        <v>3600</v>
      </c>
      <c r="X129" s="14" t="str">
        <f aca="false">IF(AND(ISNUMBER(M129),ISNUMBER(W129)),M129*W129,"")</f>
        <v/>
      </c>
      <c r="Y129" s="10"/>
      <c r="Z129" s="12" t="s">
        <v>428</v>
      </c>
      <c r="AA129" s="12"/>
      <c r="AB129" s="12" t="s">
        <v>429</v>
      </c>
    </row>
    <row r="130" customFormat="false" ht="23.25" hidden="false" customHeight="true" outlineLevel="0" collapsed="false">
      <c r="A130" s="10" t="s">
        <v>506</v>
      </c>
      <c r="B130" s="10" t="s">
        <v>402</v>
      </c>
      <c r="C130" s="10" t="s">
        <v>403</v>
      </c>
      <c r="D130" s="10" t="n">
        <v>1</v>
      </c>
      <c r="E130" s="10" t="str">
        <f aca="false">INDEX(Dim_Department!$B$2:$B$5,MATCH(D130,Dim_Department!$A$2:$A$5,0))</f>
        <v>Nursing</v>
      </c>
      <c r="F130" s="10" t="s">
        <v>494</v>
      </c>
      <c r="G130" s="10"/>
      <c r="H130" s="10" t="s">
        <v>404</v>
      </c>
      <c r="I130" s="11" t="n">
        <v>45658</v>
      </c>
      <c r="J130" s="11" t="n">
        <v>46022</v>
      </c>
      <c r="K130" s="12" t="s">
        <v>495</v>
      </c>
      <c r="L130" s="10"/>
      <c r="M130" s="10"/>
      <c r="N130" s="12" t="s">
        <v>406</v>
      </c>
      <c r="O130" s="13"/>
      <c r="P130" s="13"/>
      <c r="Q130" s="10" t="s">
        <v>120</v>
      </c>
      <c r="R130" s="12" t="s">
        <v>496</v>
      </c>
      <c r="S130" s="10" t="s">
        <v>497</v>
      </c>
      <c r="T130" s="10" t="s">
        <v>78</v>
      </c>
      <c r="U130" s="12" t="s">
        <v>507</v>
      </c>
      <c r="V130" s="10" t="n">
        <f aca="false">COUNTIF(Bridge_Trip_Site!$A$2:$A$2000,A130)</f>
        <v>1</v>
      </c>
      <c r="W130" s="16" t="n">
        <f aca="false">README!$B$15</f>
        <v>3600</v>
      </c>
      <c r="X130" s="14" t="str">
        <f aca="false">IF(AND(ISNUMBER(M130),ISNUMBER(W130)),M130*W130,"")</f>
        <v/>
      </c>
      <c r="Y130" s="10"/>
      <c r="Z130" s="12" t="s">
        <v>428</v>
      </c>
      <c r="AA130" s="12"/>
      <c r="AB130" s="12" t="s">
        <v>429</v>
      </c>
    </row>
    <row r="131" customFormat="false" ht="23.25" hidden="false" customHeight="true" outlineLevel="0" collapsed="false">
      <c r="A131" s="10" t="s">
        <v>508</v>
      </c>
      <c r="B131" s="10" t="s">
        <v>402</v>
      </c>
      <c r="C131" s="10" t="s">
        <v>403</v>
      </c>
      <c r="D131" s="10" t="n">
        <v>1</v>
      </c>
      <c r="E131" s="10" t="str">
        <f aca="false">INDEX(Dim_Department!$B$2:$B$5,MATCH(D131,Dim_Department!$A$2:$A$5,0))</f>
        <v>Nursing</v>
      </c>
      <c r="F131" s="10" t="s">
        <v>494</v>
      </c>
      <c r="G131" s="10"/>
      <c r="H131" s="10" t="s">
        <v>404</v>
      </c>
      <c r="I131" s="11" t="n">
        <v>45658</v>
      </c>
      <c r="J131" s="11" t="n">
        <v>46022</v>
      </c>
      <c r="K131" s="12" t="s">
        <v>495</v>
      </c>
      <c r="L131" s="10"/>
      <c r="M131" s="10"/>
      <c r="N131" s="12" t="s">
        <v>406</v>
      </c>
      <c r="O131" s="13"/>
      <c r="P131" s="13"/>
      <c r="Q131" s="10" t="s">
        <v>120</v>
      </c>
      <c r="R131" s="12" t="s">
        <v>496</v>
      </c>
      <c r="S131" s="10" t="s">
        <v>497</v>
      </c>
      <c r="T131" s="10" t="s">
        <v>78</v>
      </c>
      <c r="U131" s="12" t="s">
        <v>509</v>
      </c>
      <c r="V131" s="10" t="n">
        <f aca="false">COUNTIF(Bridge_Trip_Site!$A$2:$A$2000,A131)</f>
        <v>1</v>
      </c>
      <c r="W131" s="16" t="n">
        <f aca="false">README!$B$15</f>
        <v>3600</v>
      </c>
      <c r="X131" s="14" t="str">
        <f aca="false">IF(AND(ISNUMBER(M131),ISNUMBER(W131)),M131*W131,"")</f>
        <v/>
      </c>
      <c r="Y131" s="10"/>
      <c r="Z131" s="12" t="s">
        <v>428</v>
      </c>
      <c r="AA131" s="12"/>
      <c r="AB131" s="12" t="s">
        <v>429</v>
      </c>
    </row>
    <row r="132" customFormat="false" ht="23.25" hidden="false" customHeight="true" outlineLevel="0" collapsed="false">
      <c r="A132" s="10" t="s">
        <v>510</v>
      </c>
      <c r="B132" s="10" t="s">
        <v>402</v>
      </c>
      <c r="C132" s="10" t="s">
        <v>403</v>
      </c>
      <c r="D132" s="10" t="n">
        <v>1</v>
      </c>
      <c r="E132" s="10" t="str">
        <f aca="false">INDEX(Dim_Department!$B$2:$B$5,MATCH(D132,Dim_Department!$A$2:$A$5,0))</f>
        <v>Nursing</v>
      </c>
      <c r="F132" s="10" t="s">
        <v>494</v>
      </c>
      <c r="G132" s="10"/>
      <c r="H132" s="10" t="s">
        <v>404</v>
      </c>
      <c r="I132" s="11" t="n">
        <v>45658</v>
      </c>
      <c r="J132" s="11" t="n">
        <v>46022</v>
      </c>
      <c r="K132" s="12" t="s">
        <v>495</v>
      </c>
      <c r="L132" s="10"/>
      <c r="M132" s="10"/>
      <c r="N132" s="12" t="s">
        <v>406</v>
      </c>
      <c r="O132" s="13"/>
      <c r="P132" s="13"/>
      <c r="Q132" s="10" t="s">
        <v>120</v>
      </c>
      <c r="R132" s="12" t="s">
        <v>496</v>
      </c>
      <c r="S132" s="10" t="s">
        <v>497</v>
      </c>
      <c r="T132" s="10" t="s">
        <v>78</v>
      </c>
      <c r="U132" s="12" t="s">
        <v>511</v>
      </c>
      <c r="V132" s="10" t="n">
        <f aca="false">COUNTIF(Bridge_Trip_Site!$A$2:$A$2000,A132)</f>
        <v>1</v>
      </c>
      <c r="W132" s="15" t="n">
        <v>196</v>
      </c>
      <c r="X132" s="14" t="str">
        <f aca="false">IF(AND(ISNUMBER(M132),ISNUMBER(W132)),M132*W132,"")</f>
        <v/>
      </c>
      <c r="Y132" s="10"/>
      <c r="Z132" s="12" t="s">
        <v>413</v>
      </c>
      <c r="AA132" s="12" t="s">
        <v>97</v>
      </c>
      <c r="AB132" s="12" t="s">
        <v>512</v>
      </c>
    </row>
    <row r="133" customFormat="false" ht="23.25" hidden="false" customHeight="true" outlineLevel="0" collapsed="false">
      <c r="A133" s="10" t="s">
        <v>513</v>
      </c>
      <c r="B133" s="10" t="s">
        <v>402</v>
      </c>
      <c r="C133" s="10" t="s">
        <v>403</v>
      </c>
      <c r="D133" s="10" t="n">
        <v>1</v>
      </c>
      <c r="E133" s="10" t="str">
        <f aca="false">INDEX(Dim_Department!$B$2:$B$5,MATCH(D133,Dim_Department!$A$2:$A$5,0))</f>
        <v>Nursing</v>
      </c>
      <c r="F133" s="10" t="s">
        <v>494</v>
      </c>
      <c r="G133" s="10"/>
      <c r="H133" s="10" t="s">
        <v>404</v>
      </c>
      <c r="I133" s="11" t="n">
        <v>45658</v>
      </c>
      <c r="J133" s="11" t="n">
        <v>46022</v>
      </c>
      <c r="K133" s="12" t="s">
        <v>495</v>
      </c>
      <c r="L133" s="10"/>
      <c r="M133" s="10"/>
      <c r="N133" s="12" t="s">
        <v>406</v>
      </c>
      <c r="O133" s="13"/>
      <c r="P133" s="13"/>
      <c r="Q133" s="10" t="s">
        <v>120</v>
      </c>
      <c r="R133" s="12" t="s">
        <v>496</v>
      </c>
      <c r="S133" s="10" t="s">
        <v>497</v>
      </c>
      <c r="T133" s="10" t="s">
        <v>78</v>
      </c>
      <c r="U133" s="12" t="s">
        <v>514</v>
      </c>
      <c r="V133" s="10" t="n">
        <f aca="false">COUNTIF(Bridge_Trip_Site!$A$2:$A$2000,A133)</f>
        <v>1</v>
      </c>
      <c r="W133" s="16" t="n">
        <f aca="false">README!$B$15</f>
        <v>3600</v>
      </c>
      <c r="X133" s="14" t="str">
        <f aca="false">IF(AND(ISNUMBER(M133),ISNUMBER(W133)),M133*W133,"")</f>
        <v/>
      </c>
      <c r="Y133" s="10"/>
      <c r="Z133" s="12" t="s">
        <v>428</v>
      </c>
      <c r="AA133" s="12"/>
      <c r="AB133" s="12" t="s">
        <v>515</v>
      </c>
    </row>
    <row r="134" customFormat="false" ht="23.25" hidden="false" customHeight="true" outlineLevel="0" collapsed="false">
      <c r="A134" s="10" t="s">
        <v>516</v>
      </c>
      <c r="B134" s="10" t="s">
        <v>402</v>
      </c>
      <c r="C134" s="10" t="s">
        <v>403</v>
      </c>
      <c r="D134" s="10" t="n">
        <v>1</v>
      </c>
      <c r="E134" s="10" t="str">
        <f aca="false">INDEX(Dim_Department!$B$2:$B$5,MATCH(D134,Dim_Department!$A$2:$A$5,0))</f>
        <v>Nursing</v>
      </c>
      <c r="F134" s="10" t="s">
        <v>494</v>
      </c>
      <c r="G134" s="10"/>
      <c r="H134" s="10" t="s">
        <v>404</v>
      </c>
      <c r="I134" s="11" t="n">
        <v>45658</v>
      </c>
      <c r="J134" s="11" t="n">
        <v>46022</v>
      </c>
      <c r="K134" s="12" t="s">
        <v>495</v>
      </c>
      <c r="L134" s="10"/>
      <c r="M134" s="10"/>
      <c r="N134" s="12" t="s">
        <v>406</v>
      </c>
      <c r="O134" s="13"/>
      <c r="P134" s="13"/>
      <c r="Q134" s="10" t="s">
        <v>120</v>
      </c>
      <c r="R134" s="12" t="s">
        <v>496</v>
      </c>
      <c r="S134" s="10" t="s">
        <v>497</v>
      </c>
      <c r="T134" s="10" t="s">
        <v>78</v>
      </c>
      <c r="U134" s="12" t="s">
        <v>437</v>
      </c>
      <c r="V134" s="10" t="n">
        <f aca="false">COUNTIF(Bridge_Trip_Site!$A$2:$A$2000,A134)</f>
        <v>1</v>
      </c>
      <c r="W134" s="16" t="n">
        <f aca="false">README!$B$15</f>
        <v>3600</v>
      </c>
      <c r="X134" s="14" t="str">
        <f aca="false">IF(AND(ISNUMBER(M134),ISNUMBER(W134)),M134*W134,"")</f>
        <v/>
      </c>
      <c r="Y134" s="10"/>
      <c r="Z134" s="12" t="s">
        <v>428</v>
      </c>
      <c r="AA134" s="12"/>
      <c r="AB134" s="12" t="s">
        <v>429</v>
      </c>
    </row>
    <row r="135" customFormat="false" ht="23.25" hidden="false" customHeight="true" outlineLevel="0" collapsed="false">
      <c r="A135" s="10" t="s">
        <v>517</v>
      </c>
      <c r="B135" s="10" t="s">
        <v>402</v>
      </c>
      <c r="C135" s="10" t="s">
        <v>403</v>
      </c>
      <c r="D135" s="10" t="n">
        <v>1</v>
      </c>
      <c r="E135" s="10" t="str">
        <f aca="false">INDEX(Dim_Department!$B$2:$B$5,MATCH(D135,Dim_Department!$A$2:$A$5,0))</f>
        <v>Nursing</v>
      </c>
      <c r="F135" s="10" t="s">
        <v>494</v>
      </c>
      <c r="G135" s="10"/>
      <c r="H135" s="10" t="s">
        <v>404</v>
      </c>
      <c r="I135" s="11" t="n">
        <v>45658</v>
      </c>
      <c r="J135" s="11" t="n">
        <v>46022</v>
      </c>
      <c r="K135" s="12" t="s">
        <v>495</v>
      </c>
      <c r="L135" s="10"/>
      <c r="M135" s="10"/>
      <c r="N135" s="12" t="s">
        <v>406</v>
      </c>
      <c r="O135" s="13"/>
      <c r="P135" s="13"/>
      <c r="Q135" s="10" t="s">
        <v>120</v>
      </c>
      <c r="R135" s="12" t="s">
        <v>496</v>
      </c>
      <c r="S135" s="10" t="s">
        <v>497</v>
      </c>
      <c r="T135" s="10" t="s">
        <v>78</v>
      </c>
      <c r="U135" s="12" t="s">
        <v>518</v>
      </c>
      <c r="V135" s="10" t="n">
        <f aca="false">COUNTIF(Bridge_Trip_Site!$A$2:$A$2000,A135)</f>
        <v>1</v>
      </c>
      <c r="W135" s="16" t="n">
        <f aca="false">README!$B$15</f>
        <v>3600</v>
      </c>
      <c r="X135" s="14" t="str">
        <f aca="false">IF(AND(ISNUMBER(M135),ISNUMBER(W135)),M135*W135,"")</f>
        <v/>
      </c>
      <c r="Y135" s="10"/>
      <c r="Z135" s="12" t="s">
        <v>428</v>
      </c>
      <c r="AA135" s="12"/>
      <c r="AB135" s="12" t="s">
        <v>519</v>
      </c>
    </row>
    <row r="136" customFormat="false" ht="23.25" hidden="false" customHeight="true" outlineLevel="0" collapsed="false">
      <c r="A136" s="10" t="s">
        <v>520</v>
      </c>
      <c r="B136" s="10" t="s">
        <v>402</v>
      </c>
      <c r="C136" s="10" t="s">
        <v>403</v>
      </c>
      <c r="D136" s="10" t="n">
        <v>1</v>
      </c>
      <c r="E136" s="10" t="str">
        <f aca="false">INDEX(Dim_Department!$B$2:$B$5,MATCH(D136,Dim_Department!$A$2:$A$5,0))</f>
        <v>Nursing</v>
      </c>
      <c r="F136" s="10" t="s">
        <v>494</v>
      </c>
      <c r="G136" s="10"/>
      <c r="H136" s="10" t="s">
        <v>404</v>
      </c>
      <c r="I136" s="11" t="n">
        <v>45658</v>
      </c>
      <c r="J136" s="11" t="n">
        <v>46022</v>
      </c>
      <c r="K136" s="12" t="s">
        <v>495</v>
      </c>
      <c r="L136" s="10"/>
      <c r="M136" s="10"/>
      <c r="N136" s="12" t="s">
        <v>406</v>
      </c>
      <c r="O136" s="13"/>
      <c r="P136" s="13"/>
      <c r="Q136" s="10" t="s">
        <v>120</v>
      </c>
      <c r="R136" s="12" t="s">
        <v>496</v>
      </c>
      <c r="S136" s="10" t="s">
        <v>497</v>
      </c>
      <c r="T136" s="10" t="s">
        <v>78</v>
      </c>
      <c r="U136" s="12" t="s">
        <v>521</v>
      </c>
      <c r="V136" s="10" t="n">
        <f aca="false">COUNTIF(Bridge_Trip_Site!$A$2:$A$2000,A136)</f>
        <v>1</v>
      </c>
      <c r="W136" s="16" t="n">
        <f aca="false">README!$B$15</f>
        <v>3600</v>
      </c>
      <c r="X136" s="14" t="str">
        <f aca="false">IF(AND(ISNUMBER(M136),ISNUMBER(W136)),M136*W136,"")</f>
        <v/>
      </c>
      <c r="Y136" s="10"/>
      <c r="Z136" s="12" t="s">
        <v>428</v>
      </c>
      <c r="AA136" s="12"/>
      <c r="AB136" s="12" t="s">
        <v>519</v>
      </c>
    </row>
    <row r="137" customFormat="false" ht="23.25" hidden="false" customHeight="true" outlineLevel="0" collapsed="false">
      <c r="A137" s="10" t="s">
        <v>522</v>
      </c>
      <c r="B137" s="10" t="s">
        <v>402</v>
      </c>
      <c r="C137" s="10" t="s">
        <v>403</v>
      </c>
      <c r="D137" s="10" t="n">
        <v>1</v>
      </c>
      <c r="E137" s="10" t="str">
        <f aca="false">INDEX(Dim_Department!$B$2:$B$5,MATCH(D137,Dim_Department!$A$2:$A$5,0))</f>
        <v>Nursing</v>
      </c>
      <c r="F137" s="10" t="s">
        <v>494</v>
      </c>
      <c r="G137" s="10"/>
      <c r="H137" s="10" t="s">
        <v>404</v>
      </c>
      <c r="I137" s="11" t="n">
        <v>45658</v>
      </c>
      <c r="J137" s="11" t="n">
        <v>46022</v>
      </c>
      <c r="K137" s="12" t="s">
        <v>495</v>
      </c>
      <c r="L137" s="10"/>
      <c r="M137" s="10"/>
      <c r="N137" s="12" t="s">
        <v>406</v>
      </c>
      <c r="O137" s="13"/>
      <c r="P137" s="13"/>
      <c r="Q137" s="10" t="s">
        <v>120</v>
      </c>
      <c r="R137" s="12" t="s">
        <v>496</v>
      </c>
      <c r="S137" s="10" t="s">
        <v>497</v>
      </c>
      <c r="T137" s="10" t="s">
        <v>78</v>
      </c>
      <c r="U137" s="12" t="s">
        <v>523</v>
      </c>
      <c r="V137" s="10" t="n">
        <f aca="false">COUNTIF(Bridge_Trip_Site!$A$2:$A$2000,A137)</f>
        <v>1</v>
      </c>
      <c r="W137" s="15" t="n">
        <v>400</v>
      </c>
      <c r="X137" s="14" t="str">
        <f aca="false">IF(AND(ISNUMBER(M137),ISNUMBER(W137)),M137*W137,"")</f>
        <v/>
      </c>
      <c r="Y137" s="10"/>
      <c r="Z137" s="12" t="s">
        <v>413</v>
      </c>
      <c r="AA137" s="12" t="s">
        <v>195</v>
      </c>
      <c r="AB137" s="12" t="s">
        <v>524</v>
      </c>
    </row>
    <row r="138" customFormat="false" ht="23.25" hidden="false" customHeight="true" outlineLevel="0" collapsed="false">
      <c r="A138" s="10" t="s">
        <v>525</v>
      </c>
      <c r="B138" s="10" t="s">
        <v>402</v>
      </c>
      <c r="C138" s="10" t="s">
        <v>403</v>
      </c>
      <c r="D138" s="10" t="n">
        <v>1</v>
      </c>
      <c r="E138" s="10" t="str">
        <f aca="false">INDEX(Dim_Department!$B$2:$B$5,MATCH(D138,Dim_Department!$A$2:$A$5,0))</f>
        <v>Nursing</v>
      </c>
      <c r="F138" s="10" t="s">
        <v>494</v>
      </c>
      <c r="G138" s="10"/>
      <c r="H138" s="10" t="s">
        <v>404</v>
      </c>
      <c r="I138" s="11" t="n">
        <v>45658</v>
      </c>
      <c r="J138" s="11" t="n">
        <v>46022</v>
      </c>
      <c r="K138" s="12" t="s">
        <v>495</v>
      </c>
      <c r="L138" s="10"/>
      <c r="M138" s="10"/>
      <c r="N138" s="12" t="s">
        <v>406</v>
      </c>
      <c r="O138" s="13"/>
      <c r="P138" s="13"/>
      <c r="Q138" s="10" t="s">
        <v>120</v>
      </c>
      <c r="R138" s="12" t="s">
        <v>496</v>
      </c>
      <c r="S138" s="10" t="s">
        <v>497</v>
      </c>
      <c r="T138" s="10" t="s">
        <v>78</v>
      </c>
      <c r="U138" s="12" t="s">
        <v>526</v>
      </c>
      <c r="V138" s="10" t="n">
        <f aca="false">COUNTIF(Bridge_Trip_Site!$A$2:$A$2000,A138)</f>
        <v>1</v>
      </c>
      <c r="W138" s="15" t="n">
        <v>466.67</v>
      </c>
      <c r="X138" s="14" t="str">
        <f aca="false">IF(AND(ISNUMBER(M138),ISNUMBER(W138)),M138*W138,"")</f>
        <v/>
      </c>
      <c r="Y138" s="10"/>
      <c r="Z138" s="12" t="s">
        <v>413</v>
      </c>
      <c r="AA138" s="12" t="s">
        <v>193</v>
      </c>
      <c r="AB138" s="12" t="s">
        <v>501</v>
      </c>
    </row>
    <row r="139" customFormat="false" ht="23.25" hidden="false" customHeight="true" outlineLevel="0" collapsed="false">
      <c r="A139" s="10" t="s">
        <v>527</v>
      </c>
      <c r="B139" s="10" t="s">
        <v>402</v>
      </c>
      <c r="C139" s="10" t="s">
        <v>403</v>
      </c>
      <c r="D139" s="10" t="n">
        <v>1</v>
      </c>
      <c r="E139" s="10" t="str">
        <f aca="false">INDEX(Dim_Department!$B$2:$B$5,MATCH(D139,Dim_Department!$A$2:$A$5,0))</f>
        <v>Nursing</v>
      </c>
      <c r="F139" s="10" t="s">
        <v>494</v>
      </c>
      <c r="G139" s="10"/>
      <c r="H139" s="10" t="s">
        <v>404</v>
      </c>
      <c r="I139" s="11" t="n">
        <v>45658</v>
      </c>
      <c r="J139" s="11" t="n">
        <v>46022</v>
      </c>
      <c r="K139" s="12" t="s">
        <v>495</v>
      </c>
      <c r="L139" s="10"/>
      <c r="M139" s="10"/>
      <c r="N139" s="12" t="s">
        <v>406</v>
      </c>
      <c r="O139" s="13"/>
      <c r="P139" s="13"/>
      <c r="Q139" s="10" t="s">
        <v>120</v>
      </c>
      <c r="R139" s="12" t="s">
        <v>496</v>
      </c>
      <c r="S139" s="10" t="n">
        <v>30</v>
      </c>
      <c r="T139" s="10" t="s">
        <v>78</v>
      </c>
      <c r="U139" s="12" t="s">
        <v>408</v>
      </c>
      <c r="V139" s="10" t="n">
        <f aca="false">COUNTIF(Bridge_Trip_Site!$A$2:$A$2000,A139)</f>
        <v>1</v>
      </c>
      <c r="W139" s="15" t="n">
        <v>980</v>
      </c>
      <c r="X139" s="14" t="str">
        <f aca="false">IF(AND(ISNUMBER(M139),ISNUMBER(W139)),M139*W139,"")</f>
        <v/>
      </c>
      <c r="Y139" s="10"/>
      <c r="Z139" s="12" t="s">
        <v>409</v>
      </c>
      <c r="AA139" s="12" t="s">
        <v>528</v>
      </c>
      <c r="AB139" s="12" t="s">
        <v>529</v>
      </c>
    </row>
    <row r="140" customFormat="false" ht="23.25" hidden="false" customHeight="true" outlineLevel="0" collapsed="false">
      <c r="A140" s="10" t="s">
        <v>530</v>
      </c>
      <c r="B140" s="10" t="s">
        <v>402</v>
      </c>
      <c r="C140" s="10" t="s">
        <v>403</v>
      </c>
      <c r="D140" s="10" t="n">
        <v>1</v>
      </c>
      <c r="E140" s="10" t="str">
        <f aca="false">INDEX(Dim_Department!$B$2:$B$5,MATCH(D140,Dim_Department!$A$2:$A$5,0))</f>
        <v>Nursing</v>
      </c>
      <c r="F140" s="10" t="s">
        <v>494</v>
      </c>
      <c r="G140" s="10"/>
      <c r="H140" s="10" t="s">
        <v>404</v>
      </c>
      <c r="I140" s="11" t="n">
        <v>45658</v>
      </c>
      <c r="J140" s="11" t="n">
        <v>46022</v>
      </c>
      <c r="K140" s="12" t="s">
        <v>495</v>
      </c>
      <c r="L140" s="10"/>
      <c r="M140" s="10"/>
      <c r="N140" s="12" t="s">
        <v>406</v>
      </c>
      <c r="O140" s="13"/>
      <c r="P140" s="13"/>
      <c r="Q140" s="10" t="s">
        <v>120</v>
      </c>
      <c r="R140" s="12" t="s">
        <v>496</v>
      </c>
      <c r="S140" s="10" t="s">
        <v>497</v>
      </c>
      <c r="T140" s="10" t="s">
        <v>78</v>
      </c>
      <c r="U140" s="12" t="s">
        <v>531</v>
      </c>
      <c r="V140" s="10" t="n">
        <f aca="false">COUNTIF(Bridge_Trip_Site!$A$2:$A$2000,A140)</f>
        <v>1</v>
      </c>
      <c r="W140" s="16" t="n">
        <f aca="false">README!$B$15</f>
        <v>3600</v>
      </c>
      <c r="X140" s="14" t="str">
        <f aca="false">IF(AND(ISNUMBER(M140),ISNUMBER(W140)),M140*W140,"")</f>
        <v/>
      </c>
      <c r="Y140" s="10"/>
      <c r="Z140" s="12" t="s">
        <v>428</v>
      </c>
      <c r="AA140" s="12"/>
      <c r="AB140" s="12" t="s">
        <v>532</v>
      </c>
    </row>
    <row r="141" customFormat="false" ht="23.25" hidden="false" customHeight="true" outlineLevel="0" collapsed="false">
      <c r="A141" s="10" t="s">
        <v>533</v>
      </c>
      <c r="B141" s="10" t="s">
        <v>402</v>
      </c>
      <c r="C141" s="10" t="s">
        <v>403</v>
      </c>
      <c r="D141" s="10" t="n">
        <v>1</v>
      </c>
      <c r="E141" s="10" t="str">
        <f aca="false">INDEX(Dim_Department!$B$2:$B$5,MATCH(D141,Dim_Department!$A$2:$A$5,0))</f>
        <v>Nursing</v>
      </c>
      <c r="F141" s="10" t="s">
        <v>494</v>
      </c>
      <c r="G141" s="10"/>
      <c r="H141" s="10" t="s">
        <v>404</v>
      </c>
      <c r="I141" s="11" t="n">
        <v>45658</v>
      </c>
      <c r="J141" s="11" t="n">
        <v>46022</v>
      </c>
      <c r="K141" s="12" t="s">
        <v>495</v>
      </c>
      <c r="L141" s="10"/>
      <c r="M141" s="10"/>
      <c r="N141" s="12" t="s">
        <v>406</v>
      </c>
      <c r="O141" s="13"/>
      <c r="P141" s="13"/>
      <c r="Q141" s="10" t="s">
        <v>120</v>
      </c>
      <c r="R141" s="12" t="s">
        <v>496</v>
      </c>
      <c r="S141" s="10" t="s">
        <v>497</v>
      </c>
      <c r="T141" s="10" t="s">
        <v>78</v>
      </c>
      <c r="U141" s="12" t="s">
        <v>534</v>
      </c>
      <c r="V141" s="10" t="n">
        <f aca="false">COUNTIF(Bridge_Trip_Site!$A$2:$A$2000,A141)</f>
        <v>1</v>
      </c>
      <c r="W141" s="16" t="n">
        <f aca="false">README!$B$15</f>
        <v>3600</v>
      </c>
      <c r="X141" s="14" t="str">
        <f aca="false">IF(AND(ISNUMBER(M141),ISNUMBER(W141)),M141*W141,"")</f>
        <v/>
      </c>
      <c r="Y141" s="10"/>
      <c r="Z141" s="12" t="s">
        <v>428</v>
      </c>
      <c r="AA141" s="12"/>
      <c r="AB141" s="12" t="s">
        <v>532</v>
      </c>
    </row>
    <row r="142" customFormat="false" ht="23.25" hidden="false" customHeight="true" outlineLevel="0" collapsed="false">
      <c r="A142" s="10" t="s">
        <v>535</v>
      </c>
      <c r="B142" s="10" t="s">
        <v>402</v>
      </c>
      <c r="C142" s="10" t="s">
        <v>403</v>
      </c>
      <c r="D142" s="10" t="n">
        <v>1</v>
      </c>
      <c r="E142" s="10" t="str">
        <f aca="false">INDEX(Dim_Department!$B$2:$B$5,MATCH(D142,Dim_Department!$A$2:$A$5,0))</f>
        <v>Nursing</v>
      </c>
      <c r="F142" s="10" t="s">
        <v>494</v>
      </c>
      <c r="G142" s="10"/>
      <c r="H142" s="10" t="s">
        <v>404</v>
      </c>
      <c r="I142" s="11" t="n">
        <v>45658</v>
      </c>
      <c r="J142" s="11" t="n">
        <v>46022</v>
      </c>
      <c r="K142" s="12" t="s">
        <v>495</v>
      </c>
      <c r="L142" s="10"/>
      <c r="M142" s="10"/>
      <c r="N142" s="12" t="s">
        <v>406</v>
      </c>
      <c r="O142" s="13"/>
      <c r="P142" s="13"/>
      <c r="Q142" s="10" t="s">
        <v>120</v>
      </c>
      <c r="R142" s="12" t="s">
        <v>496</v>
      </c>
      <c r="S142" s="10" t="s">
        <v>497</v>
      </c>
      <c r="T142" s="10" t="s">
        <v>78</v>
      </c>
      <c r="U142" s="12" t="s">
        <v>536</v>
      </c>
      <c r="V142" s="10" t="n">
        <f aca="false">COUNTIF(Bridge_Trip_Site!$A$2:$A$2000,A142)</f>
        <v>1</v>
      </c>
      <c r="W142" s="15" t="n">
        <v>900</v>
      </c>
      <c r="X142" s="14" t="str">
        <f aca="false">IF(AND(ISNUMBER(M142),ISNUMBER(W142)),M142*W142,"")</f>
        <v/>
      </c>
      <c r="Y142" s="10"/>
      <c r="Z142" s="12" t="s">
        <v>413</v>
      </c>
      <c r="AA142" s="12" t="s">
        <v>212</v>
      </c>
      <c r="AB142" s="12" t="s">
        <v>537</v>
      </c>
    </row>
    <row r="143" customFormat="false" ht="23.25" hidden="false" customHeight="true" outlineLevel="0" collapsed="false">
      <c r="A143" s="10" t="s">
        <v>538</v>
      </c>
      <c r="B143" s="10" t="s">
        <v>402</v>
      </c>
      <c r="C143" s="10" t="s">
        <v>403</v>
      </c>
      <c r="D143" s="10" t="n">
        <v>1</v>
      </c>
      <c r="E143" s="10" t="str">
        <f aca="false">INDEX(Dim_Department!$B$2:$B$5,MATCH(D143,Dim_Department!$A$2:$A$5,0))</f>
        <v>Nursing</v>
      </c>
      <c r="F143" s="10" t="s">
        <v>494</v>
      </c>
      <c r="G143" s="10"/>
      <c r="H143" s="10" t="s">
        <v>404</v>
      </c>
      <c r="I143" s="11" t="n">
        <v>45658</v>
      </c>
      <c r="J143" s="11" t="n">
        <v>46022</v>
      </c>
      <c r="K143" s="12" t="s">
        <v>495</v>
      </c>
      <c r="L143" s="10"/>
      <c r="M143" s="10"/>
      <c r="N143" s="12" t="s">
        <v>406</v>
      </c>
      <c r="O143" s="13"/>
      <c r="P143" s="13"/>
      <c r="Q143" s="10" t="s">
        <v>120</v>
      </c>
      <c r="R143" s="12" t="s">
        <v>496</v>
      </c>
      <c r="S143" s="10" t="s">
        <v>497</v>
      </c>
      <c r="T143" s="10" t="s">
        <v>78</v>
      </c>
      <c r="U143" s="12" t="s">
        <v>419</v>
      </c>
      <c r="V143" s="10" t="n">
        <f aca="false">COUNTIF(Bridge_Trip_Site!$A$2:$A$2000,A143)</f>
        <v>1</v>
      </c>
      <c r="W143" s="15" t="n">
        <v>490</v>
      </c>
      <c r="X143" s="14" t="str">
        <f aca="false">IF(AND(ISNUMBER(M143),ISNUMBER(W143)),M143*W143,"")</f>
        <v/>
      </c>
      <c r="Y143" s="10"/>
      <c r="Z143" s="12" t="s">
        <v>413</v>
      </c>
      <c r="AA143" s="12" t="s">
        <v>71</v>
      </c>
      <c r="AB143" s="12" t="s">
        <v>539</v>
      </c>
    </row>
    <row r="144" customFormat="false" ht="23.25" hidden="false" customHeight="true" outlineLevel="0" collapsed="false">
      <c r="A144" s="10" t="s">
        <v>540</v>
      </c>
      <c r="B144" s="10" t="s">
        <v>402</v>
      </c>
      <c r="C144" s="10" t="s">
        <v>403</v>
      </c>
      <c r="D144" s="10" t="n">
        <v>1</v>
      </c>
      <c r="E144" s="10" t="str">
        <f aca="false">INDEX(Dim_Department!$B$2:$B$5,MATCH(D144,Dim_Department!$A$2:$A$5,0))</f>
        <v>Nursing</v>
      </c>
      <c r="F144" s="10" t="s">
        <v>494</v>
      </c>
      <c r="G144" s="10"/>
      <c r="H144" s="10" t="s">
        <v>404</v>
      </c>
      <c r="I144" s="11" t="n">
        <v>45658</v>
      </c>
      <c r="J144" s="11" t="n">
        <v>46022</v>
      </c>
      <c r="K144" s="12" t="s">
        <v>495</v>
      </c>
      <c r="L144" s="10"/>
      <c r="M144" s="10"/>
      <c r="N144" s="12" t="s">
        <v>406</v>
      </c>
      <c r="O144" s="13"/>
      <c r="P144" s="13"/>
      <c r="Q144" s="10" t="s">
        <v>120</v>
      </c>
      <c r="R144" s="12" t="s">
        <v>496</v>
      </c>
      <c r="S144" s="10" t="s">
        <v>497</v>
      </c>
      <c r="T144" s="10" t="s">
        <v>78</v>
      </c>
      <c r="U144" s="12" t="s">
        <v>541</v>
      </c>
      <c r="V144" s="10" t="n">
        <f aca="false">COUNTIF(Bridge_Trip_Site!$A$2:$A$2000,A144)</f>
        <v>1</v>
      </c>
      <c r="W144" s="15" t="n">
        <v>350</v>
      </c>
      <c r="X144" s="14" t="str">
        <f aca="false">IF(AND(ISNUMBER(M144),ISNUMBER(W144)),M144*W144,"")</f>
        <v/>
      </c>
      <c r="Y144" s="10"/>
      <c r="Z144" s="12" t="s">
        <v>413</v>
      </c>
      <c r="AA144" s="12" t="s">
        <v>100</v>
      </c>
      <c r="AB144" s="12" t="s">
        <v>542</v>
      </c>
    </row>
    <row r="145" customFormat="false" ht="23.25" hidden="false" customHeight="true" outlineLevel="0" collapsed="false">
      <c r="A145" s="10" t="s">
        <v>543</v>
      </c>
      <c r="B145" s="10" t="s">
        <v>402</v>
      </c>
      <c r="C145" s="10" t="s">
        <v>403</v>
      </c>
      <c r="D145" s="10" t="n">
        <v>1</v>
      </c>
      <c r="E145" s="10" t="str">
        <f aca="false">INDEX(Dim_Department!$B$2:$B$5,MATCH(D145,Dim_Department!$A$2:$A$5,0))</f>
        <v>Nursing</v>
      </c>
      <c r="F145" s="10" t="s">
        <v>494</v>
      </c>
      <c r="G145" s="10"/>
      <c r="H145" s="10" t="s">
        <v>404</v>
      </c>
      <c r="I145" s="11" t="n">
        <v>45658</v>
      </c>
      <c r="J145" s="11" t="n">
        <v>46022</v>
      </c>
      <c r="K145" s="12" t="s">
        <v>495</v>
      </c>
      <c r="L145" s="10"/>
      <c r="M145" s="10"/>
      <c r="N145" s="12" t="s">
        <v>406</v>
      </c>
      <c r="O145" s="13"/>
      <c r="P145" s="13"/>
      <c r="Q145" s="10" t="s">
        <v>120</v>
      </c>
      <c r="R145" s="12" t="s">
        <v>496</v>
      </c>
      <c r="S145" s="10" t="s">
        <v>497</v>
      </c>
      <c r="T145" s="10" t="s">
        <v>78</v>
      </c>
      <c r="U145" s="12" t="s">
        <v>424</v>
      </c>
      <c r="V145" s="10" t="n">
        <f aca="false">COUNTIF(Bridge_Trip_Site!$A$2:$A$2000,A145)</f>
        <v>1</v>
      </c>
      <c r="W145" s="16" t="n">
        <f aca="false">README!$B$15</f>
        <v>3600</v>
      </c>
      <c r="X145" s="14" t="str">
        <f aca="false">IF(AND(ISNUMBER(M145),ISNUMBER(W145)),M145*W145,"")</f>
        <v/>
      </c>
      <c r="Y145" s="10"/>
      <c r="Z145" s="12" t="s">
        <v>428</v>
      </c>
      <c r="AA145" s="12"/>
      <c r="AB145" s="12" t="s">
        <v>544</v>
      </c>
    </row>
    <row r="146" customFormat="false" ht="23.25" hidden="false" customHeight="true" outlineLevel="0" collapsed="false">
      <c r="A146" s="10" t="s">
        <v>545</v>
      </c>
      <c r="B146" s="10" t="s">
        <v>402</v>
      </c>
      <c r="C146" s="10" t="s">
        <v>403</v>
      </c>
      <c r="D146" s="10" t="n">
        <v>1</v>
      </c>
      <c r="E146" s="10" t="str">
        <f aca="false">INDEX(Dim_Department!$B$2:$B$5,MATCH(D146,Dim_Department!$A$2:$A$5,0))</f>
        <v>Nursing</v>
      </c>
      <c r="F146" s="10" t="s">
        <v>494</v>
      </c>
      <c r="G146" s="10"/>
      <c r="H146" s="10" t="s">
        <v>404</v>
      </c>
      <c r="I146" s="11" t="n">
        <v>45658</v>
      </c>
      <c r="J146" s="11" t="n">
        <v>46022</v>
      </c>
      <c r="K146" s="12" t="s">
        <v>495</v>
      </c>
      <c r="L146" s="10"/>
      <c r="M146" s="10"/>
      <c r="N146" s="12" t="s">
        <v>406</v>
      </c>
      <c r="O146" s="13"/>
      <c r="P146" s="13"/>
      <c r="Q146" s="10" t="s">
        <v>120</v>
      </c>
      <c r="R146" s="12" t="s">
        <v>496</v>
      </c>
      <c r="S146" s="10" t="s">
        <v>497</v>
      </c>
      <c r="T146" s="10" t="s">
        <v>78</v>
      </c>
      <c r="U146" s="12" t="s">
        <v>434</v>
      </c>
      <c r="V146" s="10" t="n">
        <f aca="false">COUNTIF(Bridge_Trip_Site!$A$2:$A$2000,A146)</f>
        <v>1</v>
      </c>
      <c r="W146" s="15" t="n">
        <v>350</v>
      </c>
      <c r="X146" s="14" t="str">
        <f aca="false">IF(AND(ISNUMBER(M146),ISNUMBER(W146)),M146*W146,"")</f>
        <v/>
      </c>
      <c r="Y146" s="10"/>
      <c r="Z146" s="12" t="s">
        <v>413</v>
      </c>
      <c r="AA146" s="12" t="s">
        <v>373</v>
      </c>
      <c r="AB146" s="12" t="s">
        <v>546</v>
      </c>
    </row>
    <row r="147" customFormat="false" ht="23.25" hidden="false" customHeight="true" outlineLevel="0" collapsed="false">
      <c r="A147" s="10" t="s">
        <v>547</v>
      </c>
      <c r="B147" s="10" t="s">
        <v>402</v>
      </c>
      <c r="C147" s="10" t="s">
        <v>403</v>
      </c>
      <c r="D147" s="10" t="n">
        <v>1</v>
      </c>
      <c r="E147" s="10" t="str">
        <f aca="false">INDEX(Dim_Department!$B$2:$B$5,MATCH(D147,Dim_Department!$A$2:$A$5,0))</f>
        <v>Nursing</v>
      </c>
      <c r="F147" s="10" t="s">
        <v>494</v>
      </c>
      <c r="G147" s="10"/>
      <c r="H147" s="10" t="s">
        <v>404</v>
      </c>
      <c r="I147" s="11" t="n">
        <v>45658</v>
      </c>
      <c r="J147" s="11" t="n">
        <v>46022</v>
      </c>
      <c r="K147" s="12" t="s">
        <v>495</v>
      </c>
      <c r="L147" s="10"/>
      <c r="M147" s="10"/>
      <c r="N147" s="12" t="s">
        <v>406</v>
      </c>
      <c r="O147" s="13"/>
      <c r="P147" s="13"/>
      <c r="Q147" s="10" t="s">
        <v>120</v>
      </c>
      <c r="R147" s="12" t="s">
        <v>496</v>
      </c>
      <c r="S147" s="10" t="s">
        <v>497</v>
      </c>
      <c r="T147" s="10" t="s">
        <v>78</v>
      </c>
      <c r="U147" s="12" t="s">
        <v>548</v>
      </c>
      <c r="V147" s="10" t="n">
        <f aca="false">COUNTIF(Bridge_Trip_Site!$A$2:$A$2000,A147)</f>
        <v>1</v>
      </c>
      <c r="W147" s="15" t="n">
        <v>320</v>
      </c>
      <c r="X147" s="14" t="str">
        <f aca="false">IF(AND(ISNUMBER(M147),ISNUMBER(W147)),M147*W147,"")</f>
        <v/>
      </c>
      <c r="Y147" s="10"/>
      <c r="Z147" s="12" t="s">
        <v>413</v>
      </c>
      <c r="AA147" s="12" t="s">
        <v>283</v>
      </c>
      <c r="AB147" s="12" t="s">
        <v>549</v>
      </c>
    </row>
    <row r="148" customFormat="false" ht="23.25" hidden="false" customHeight="true" outlineLevel="0" collapsed="false">
      <c r="A148" s="10" t="s">
        <v>550</v>
      </c>
      <c r="B148" s="10" t="s">
        <v>402</v>
      </c>
      <c r="C148" s="10" t="s">
        <v>403</v>
      </c>
      <c r="D148" s="10" t="n">
        <v>1</v>
      </c>
      <c r="E148" s="10" t="str">
        <f aca="false">INDEX(Dim_Department!$B$2:$B$5,MATCH(D148,Dim_Department!$A$2:$A$5,0))</f>
        <v>Nursing</v>
      </c>
      <c r="F148" s="10" t="s">
        <v>494</v>
      </c>
      <c r="G148" s="10"/>
      <c r="H148" s="10" t="s">
        <v>404</v>
      </c>
      <c r="I148" s="11" t="n">
        <v>45658</v>
      </c>
      <c r="J148" s="11" t="n">
        <v>46022</v>
      </c>
      <c r="K148" s="12" t="s">
        <v>495</v>
      </c>
      <c r="L148" s="10"/>
      <c r="M148" s="10"/>
      <c r="N148" s="12" t="s">
        <v>406</v>
      </c>
      <c r="O148" s="13"/>
      <c r="P148" s="13"/>
      <c r="Q148" s="10" t="s">
        <v>120</v>
      </c>
      <c r="R148" s="12" t="s">
        <v>496</v>
      </c>
      <c r="S148" s="10" t="s">
        <v>497</v>
      </c>
      <c r="T148" s="10" t="s">
        <v>78</v>
      </c>
      <c r="U148" s="12" t="s">
        <v>551</v>
      </c>
      <c r="V148" s="10" t="n">
        <f aca="false">COUNTIF(Bridge_Trip_Site!$A$2:$A$2000,A148)</f>
        <v>1</v>
      </c>
      <c r="W148" s="16" t="n">
        <f aca="false">README!$B$15</f>
        <v>3600</v>
      </c>
      <c r="X148" s="14" t="str">
        <f aca="false">IF(AND(ISNUMBER(M148),ISNUMBER(W148)),M148*W148,"")</f>
        <v/>
      </c>
      <c r="Y148" s="10"/>
      <c r="Z148" s="12" t="s">
        <v>428</v>
      </c>
      <c r="AA148" s="12"/>
      <c r="AB148" s="12" t="s">
        <v>429</v>
      </c>
    </row>
    <row r="149" customFormat="false" ht="23.25" hidden="false" customHeight="true" outlineLevel="0" collapsed="false">
      <c r="A149" s="10" t="s">
        <v>552</v>
      </c>
      <c r="B149" s="10" t="s">
        <v>402</v>
      </c>
      <c r="C149" s="10" t="s">
        <v>403</v>
      </c>
      <c r="D149" s="10" t="n">
        <v>1</v>
      </c>
      <c r="E149" s="10" t="str">
        <f aca="false">INDEX(Dim_Department!$B$2:$B$5,MATCH(D149,Dim_Department!$A$2:$A$5,0))</f>
        <v>Nursing</v>
      </c>
      <c r="F149" s="10" t="s">
        <v>494</v>
      </c>
      <c r="G149" s="10"/>
      <c r="H149" s="10" t="s">
        <v>404</v>
      </c>
      <c r="I149" s="11" t="n">
        <v>45658</v>
      </c>
      <c r="J149" s="11" t="n">
        <v>46022</v>
      </c>
      <c r="K149" s="12" t="s">
        <v>495</v>
      </c>
      <c r="L149" s="10"/>
      <c r="M149" s="10"/>
      <c r="N149" s="12" t="s">
        <v>406</v>
      </c>
      <c r="O149" s="13"/>
      <c r="P149" s="13"/>
      <c r="Q149" s="10" t="s">
        <v>120</v>
      </c>
      <c r="R149" s="12" t="s">
        <v>496</v>
      </c>
      <c r="S149" s="10" t="s">
        <v>497</v>
      </c>
      <c r="T149" s="10" t="s">
        <v>78</v>
      </c>
      <c r="U149" s="12" t="s">
        <v>553</v>
      </c>
      <c r="V149" s="10" t="n">
        <f aca="false">COUNTIF(Bridge_Trip_Site!$A$2:$A$2000,A149)</f>
        <v>1</v>
      </c>
      <c r="W149" s="15" t="n">
        <v>400</v>
      </c>
      <c r="X149" s="14" t="str">
        <f aca="false">IF(AND(ISNUMBER(M149),ISNUMBER(W149)),M149*W149,"")</f>
        <v/>
      </c>
      <c r="Y149" s="10"/>
      <c r="Z149" s="12" t="s">
        <v>413</v>
      </c>
      <c r="AA149" s="12" t="s">
        <v>276</v>
      </c>
      <c r="AB149" s="12" t="s">
        <v>554</v>
      </c>
    </row>
    <row r="150" customFormat="false" ht="23.25" hidden="false" customHeight="true" outlineLevel="0" collapsed="false">
      <c r="A150" s="10" t="s">
        <v>555</v>
      </c>
      <c r="B150" s="10" t="s">
        <v>402</v>
      </c>
      <c r="C150" s="10" t="s">
        <v>403</v>
      </c>
      <c r="D150" s="10" t="n">
        <v>1</v>
      </c>
      <c r="E150" s="10" t="str">
        <f aca="false">INDEX(Dim_Department!$B$2:$B$5,MATCH(D150,Dim_Department!$A$2:$A$5,0))</f>
        <v>Nursing</v>
      </c>
      <c r="F150" s="10" t="s">
        <v>494</v>
      </c>
      <c r="G150" s="10"/>
      <c r="H150" s="10" t="s">
        <v>404</v>
      </c>
      <c r="I150" s="11" t="n">
        <v>45658</v>
      </c>
      <c r="J150" s="11" t="n">
        <v>46022</v>
      </c>
      <c r="K150" s="12" t="s">
        <v>495</v>
      </c>
      <c r="L150" s="10"/>
      <c r="M150" s="10"/>
      <c r="N150" s="12" t="s">
        <v>406</v>
      </c>
      <c r="O150" s="13"/>
      <c r="P150" s="13"/>
      <c r="Q150" s="10" t="s">
        <v>120</v>
      </c>
      <c r="R150" s="12" t="s">
        <v>496</v>
      </c>
      <c r="S150" s="10" t="s">
        <v>497</v>
      </c>
      <c r="T150" s="10" t="s">
        <v>78</v>
      </c>
      <c r="U150" s="12" t="s">
        <v>556</v>
      </c>
      <c r="V150" s="10" t="n">
        <f aca="false">COUNTIF(Bridge_Trip_Site!$A$2:$A$2000,A150)</f>
        <v>1</v>
      </c>
      <c r="W150" s="15" t="n">
        <v>240</v>
      </c>
      <c r="X150" s="14" t="str">
        <f aca="false">IF(AND(ISNUMBER(M150),ISNUMBER(W150)),M150*W150,"")</f>
        <v/>
      </c>
      <c r="Y150" s="10"/>
      <c r="Z150" s="12" t="s">
        <v>413</v>
      </c>
      <c r="AA150" s="12" t="s">
        <v>93</v>
      </c>
      <c r="AB150" s="12" t="s">
        <v>557</v>
      </c>
    </row>
    <row r="151" customFormat="false" ht="23.25" hidden="false" customHeight="true" outlineLevel="0" collapsed="false">
      <c r="A151" s="10" t="s">
        <v>558</v>
      </c>
      <c r="B151" s="10" t="s">
        <v>402</v>
      </c>
      <c r="C151" s="10" t="s">
        <v>403</v>
      </c>
      <c r="D151" s="10" t="n">
        <v>1</v>
      </c>
      <c r="E151" s="10" t="str">
        <f aca="false">INDEX(Dim_Department!$B$2:$B$5,MATCH(D151,Dim_Department!$A$2:$A$5,0))</f>
        <v>Nursing</v>
      </c>
      <c r="F151" s="10" t="s">
        <v>494</v>
      </c>
      <c r="G151" s="10"/>
      <c r="H151" s="10" t="s">
        <v>404</v>
      </c>
      <c r="I151" s="11" t="n">
        <v>45658</v>
      </c>
      <c r="J151" s="11" t="n">
        <v>46022</v>
      </c>
      <c r="K151" s="12" t="s">
        <v>495</v>
      </c>
      <c r="L151" s="10"/>
      <c r="M151" s="10"/>
      <c r="N151" s="12" t="s">
        <v>406</v>
      </c>
      <c r="O151" s="13"/>
      <c r="P151" s="13"/>
      <c r="Q151" s="10" t="s">
        <v>120</v>
      </c>
      <c r="R151" s="12" t="s">
        <v>496</v>
      </c>
      <c r="S151" s="10" t="s">
        <v>497</v>
      </c>
      <c r="T151" s="10" t="s">
        <v>78</v>
      </c>
      <c r="U151" s="12" t="s">
        <v>559</v>
      </c>
      <c r="V151" s="10" t="n">
        <f aca="false">COUNTIF(Bridge_Trip_Site!$A$2:$A$2000,A151)</f>
        <v>1</v>
      </c>
      <c r="W151" s="15" t="n">
        <v>240</v>
      </c>
      <c r="X151" s="14" t="str">
        <f aca="false">IF(AND(ISNUMBER(M151),ISNUMBER(W151)),M151*W151,"")</f>
        <v/>
      </c>
      <c r="Y151" s="10"/>
      <c r="Z151" s="12" t="s">
        <v>413</v>
      </c>
      <c r="AA151" s="12" t="s">
        <v>93</v>
      </c>
      <c r="AB151" s="12" t="s">
        <v>557</v>
      </c>
    </row>
    <row r="152" customFormat="false" ht="23.25" hidden="false" customHeight="true" outlineLevel="0" collapsed="false">
      <c r="A152" s="10" t="s">
        <v>560</v>
      </c>
      <c r="B152" s="10" t="s">
        <v>402</v>
      </c>
      <c r="C152" s="10" t="s">
        <v>403</v>
      </c>
      <c r="D152" s="10" t="n">
        <v>1</v>
      </c>
      <c r="E152" s="10" t="str">
        <f aca="false">INDEX(Dim_Department!$B$2:$B$5,MATCH(D152,Dim_Department!$A$2:$A$5,0))</f>
        <v>Nursing</v>
      </c>
      <c r="F152" s="10" t="s">
        <v>494</v>
      </c>
      <c r="G152" s="10"/>
      <c r="H152" s="10" t="s">
        <v>404</v>
      </c>
      <c r="I152" s="11" t="n">
        <v>45658</v>
      </c>
      <c r="J152" s="11" t="n">
        <v>46022</v>
      </c>
      <c r="K152" s="12" t="s">
        <v>495</v>
      </c>
      <c r="L152" s="10"/>
      <c r="M152" s="10"/>
      <c r="N152" s="12" t="s">
        <v>406</v>
      </c>
      <c r="O152" s="13"/>
      <c r="P152" s="13"/>
      <c r="Q152" s="10" t="s">
        <v>120</v>
      </c>
      <c r="R152" s="12" t="s">
        <v>496</v>
      </c>
      <c r="S152" s="10" t="s">
        <v>497</v>
      </c>
      <c r="T152" s="10" t="s">
        <v>78</v>
      </c>
      <c r="U152" s="12" t="s">
        <v>561</v>
      </c>
      <c r="V152" s="10" t="n">
        <f aca="false">COUNTIF(Bridge_Trip_Site!$A$2:$A$2000,A152)</f>
        <v>1</v>
      </c>
      <c r="W152" s="15" t="n">
        <v>320</v>
      </c>
      <c r="X152" s="14" t="str">
        <f aca="false">IF(AND(ISNUMBER(M152),ISNUMBER(W152)),M152*W152,"")</f>
        <v/>
      </c>
      <c r="Y152" s="10"/>
      <c r="Z152" s="12" t="s">
        <v>413</v>
      </c>
      <c r="AA152" s="12" t="s">
        <v>364</v>
      </c>
      <c r="AB152" s="12" t="s">
        <v>562</v>
      </c>
    </row>
    <row r="153" customFormat="false" ht="23.25" hidden="false" customHeight="true" outlineLevel="0" collapsed="false">
      <c r="A153" s="10" t="s">
        <v>563</v>
      </c>
      <c r="B153" s="10" t="s">
        <v>402</v>
      </c>
      <c r="C153" s="10" t="s">
        <v>403</v>
      </c>
      <c r="D153" s="10" t="n">
        <v>1</v>
      </c>
      <c r="E153" s="10" t="str">
        <f aca="false">INDEX(Dim_Department!$B$2:$B$5,MATCH(D153,Dim_Department!$A$2:$A$5,0))</f>
        <v>Nursing</v>
      </c>
      <c r="F153" s="10" t="s">
        <v>494</v>
      </c>
      <c r="G153" s="10"/>
      <c r="H153" s="10" t="s">
        <v>404</v>
      </c>
      <c r="I153" s="11" t="n">
        <v>45658</v>
      </c>
      <c r="J153" s="11" t="n">
        <v>46022</v>
      </c>
      <c r="K153" s="12" t="s">
        <v>495</v>
      </c>
      <c r="L153" s="10"/>
      <c r="M153" s="10"/>
      <c r="N153" s="12" t="s">
        <v>406</v>
      </c>
      <c r="O153" s="13"/>
      <c r="P153" s="13"/>
      <c r="Q153" s="10" t="s">
        <v>120</v>
      </c>
      <c r="R153" s="12" t="s">
        <v>496</v>
      </c>
      <c r="S153" s="10" t="s">
        <v>497</v>
      </c>
      <c r="T153" s="10" t="s">
        <v>78</v>
      </c>
      <c r="U153" s="12" t="s">
        <v>564</v>
      </c>
      <c r="V153" s="10" t="n">
        <f aca="false">COUNTIF(Bridge_Trip_Site!$A$2:$A$2000,A153)</f>
        <v>1</v>
      </c>
      <c r="W153" s="15" t="n">
        <v>466.67</v>
      </c>
      <c r="X153" s="14" t="str">
        <f aca="false">IF(AND(ISNUMBER(M153),ISNUMBER(W153)),M153*W153,"")</f>
        <v/>
      </c>
      <c r="Y153" s="10"/>
      <c r="Z153" s="12" t="s">
        <v>413</v>
      </c>
      <c r="AA153" s="12" t="s">
        <v>208</v>
      </c>
      <c r="AB153" s="12" t="s">
        <v>565</v>
      </c>
    </row>
    <row r="154" customFormat="false" ht="23.25" hidden="false" customHeight="true" outlineLevel="0" collapsed="false">
      <c r="A154" s="10" t="s">
        <v>566</v>
      </c>
      <c r="B154" s="10" t="s">
        <v>402</v>
      </c>
      <c r="C154" s="10" t="s">
        <v>403</v>
      </c>
      <c r="D154" s="10" t="n">
        <v>1</v>
      </c>
      <c r="E154" s="10" t="str">
        <f aca="false">INDEX(Dim_Department!$B$2:$B$5,MATCH(D154,Dim_Department!$A$2:$A$5,0))</f>
        <v>Nursing</v>
      </c>
      <c r="F154" s="10" t="s">
        <v>494</v>
      </c>
      <c r="G154" s="10"/>
      <c r="H154" s="10" t="s">
        <v>404</v>
      </c>
      <c r="I154" s="11" t="n">
        <v>45658</v>
      </c>
      <c r="J154" s="11" t="n">
        <v>46022</v>
      </c>
      <c r="K154" s="12" t="s">
        <v>495</v>
      </c>
      <c r="L154" s="10"/>
      <c r="M154" s="10"/>
      <c r="N154" s="12" t="s">
        <v>406</v>
      </c>
      <c r="O154" s="13"/>
      <c r="P154" s="13"/>
      <c r="Q154" s="10" t="s">
        <v>120</v>
      </c>
      <c r="R154" s="12" t="s">
        <v>496</v>
      </c>
      <c r="S154" s="10" t="s">
        <v>497</v>
      </c>
      <c r="T154" s="10" t="s">
        <v>78</v>
      </c>
      <c r="U154" s="12" t="s">
        <v>567</v>
      </c>
      <c r="V154" s="10" t="n">
        <f aca="false">COUNTIF(Bridge_Trip_Site!$A$2:$A$2000,A154)</f>
        <v>1</v>
      </c>
      <c r="W154" s="16" t="n">
        <f aca="false">README!$B$15</f>
        <v>3600</v>
      </c>
      <c r="X154" s="14" t="str">
        <f aca="false">IF(AND(ISNUMBER(M154),ISNUMBER(W154)),M154*W154,"")</f>
        <v/>
      </c>
      <c r="Y154" s="10"/>
      <c r="Z154" s="12" t="s">
        <v>428</v>
      </c>
      <c r="AA154" s="12"/>
      <c r="AB154" s="12" t="s">
        <v>568</v>
      </c>
    </row>
    <row r="155" customFormat="false" ht="23.25" hidden="false" customHeight="true" outlineLevel="0" collapsed="false">
      <c r="A155" s="10" t="s">
        <v>569</v>
      </c>
      <c r="B155" s="10" t="s">
        <v>402</v>
      </c>
      <c r="C155" s="10" t="s">
        <v>403</v>
      </c>
      <c r="D155" s="10" t="n">
        <v>1</v>
      </c>
      <c r="E155" s="10" t="str">
        <f aca="false">INDEX(Dim_Department!$B$2:$B$5,MATCH(D155,Dim_Department!$A$2:$A$5,0))</f>
        <v>Nursing</v>
      </c>
      <c r="F155" s="10" t="s">
        <v>494</v>
      </c>
      <c r="G155" s="10"/>
      <c r="H155" s="10" t="s">
        <v>404</v>
      </c>
      <c r="I155" s="11" t="n">
        <v>45658</v>
      </c>
      <c r="J155" s="11" t="n">
        <v>46022</v>
      </c>
      <c r="K155" s="12" t="s">
        <v>495</v>
      </c>
      <c r="L155" s="10"/>
      <c r="M155" s="10"/>
      <c r="N155" s="12" t="s">
        <v>406</v>
      </c>
      <c r="O155" s="13"/>
      <c r="P155" s="13"/>
      <c r="Q155" s="10" t="s">
        <v>120</v>
      </c>
      <c r="R155" s="12" t="s">
        <v>496</v>
      </c>
      <c r="S155" s="10" t="s">
        <v>497</v>
      </c>
      <c r="T155" s="10" t="s">
        <v>78</v>
      </c>
      <c r="U155" s="12" t="s">
        <v>570</v>
      </c>
      <c r="V155" s="10" t="n">
        <f aca="false">COUNTIF(Bridge_Trip_Site!$A$2:$A$2000,A155)</f>
        <v>1</v>
      </c>
      <c r="W155" s="15" t="n">
        <v>400</v>
      </c>
      <c r="X155" s="14" t="str">
        <f aca="false">IF(AND(ISNUMBER(M155),ISNUMBER(W155)),M155*W155,"")</f>
        <v/>
      </c>
      <c r="Y155" s="10"/>
      <c r="Z155" s="12" t="s">
        <v>413</v>
      </c>
      <c r="AA155" s="12" t="s">
        <v>195</v>
      </c>
      <c r="AB155" s="12" t="s">
        <v>524</v>
      </c>
    </row>
    <row r="156" customFormat="false" ht="23.25" hidden="false" customHeight="true" outlineLevel="0" collapsed="false">
      <c r="A156" s="10" t="s">
        <v>571</v>
      </c>
      <c r="B156" s="10" t="s">
        <v>402</v>
      </c>
      <c r="C156" s="10" t="s">
        <v>403</v>
      </c>
      <c r="D156" s="10" t="n">
        <v>1</v>
      </c>
      <c r="E156" s="10" t="str">
        <f aca="false">INDEX(Dim_Department!$B$2:$B$5,MATCH(D156,Dim_Department!$A$2:$A$5,0))</f>
        <v>Nursing</v>
      </c>
      <c r="F156" s="10" t="s">
        <v>494</v>
      </c>
      <c r="G156" s="10"/>
      <c r="H156" s="10" t="s">
        <v>404</v>
      </c>
      <c r="I156" s="11" t="n">
        <v>45658</v>
      </c>
      <c r="J156" s="11" t="n">
        <v>46022</v>
      </c>
      <c r="K156" s="12" t="s">
        <v>495</v>
      </c>
      <c r="L156" s="10"/>
      <c r="M156" s="10"/>
      <c r="N156" s="12" t="s">
        <v>406</v>
      </c>
      <c r="O156" s="13"/>
      <c r="P156" s="13"/>
      <c r="Q156" s="10" t="s">
        <v>120</v>
      </c>
      <c r="R156" s="12" t="s">
        <v>496</v>
      </c>
      <c r="S156" s="10" t="s">
        <v>497</v>
      </c>
      <c r="T156" s="10" t="s">
        <v>78</v>
      </c>
      <c r="U156" s="12" t="s">
        <v>572</v>
      </c>
      <c r="V156" s="10" t="n">
        <f aca="false">COUNTIF(Bridge_Trip_Site!$A$2:$A$2000,A156)</f>
        <v>1</v>
      </c>
      <c r="W156" s="15" t="n">
        <v>866.67</v>
      </c>
      <c r="X156" s="14" t="str">
        <f aca="false">IF(AND(ISNUMBER(M156),ISNUMBER(W156)),M156*W156,"")</f>
        <v/>
      </c>
      <c r="Y156" s="10"/>
      <c r="Z156" s="12" t="s">
        <v>413</v>
      </c>
      <c r="AA156" s="12" t="s">
        <v>102</v>
      </c>
      <c r="AB156" s="12" t="s">
        <v>573</v>
      </c>
    </row>
    <row r="157" customFormat="false" ht="23.25" hidden="false" customHeight="true" outlineLevel="0" collapsed="false">
      <c r="A157" s="10" t="s">
        <v>574</v>
      </c>
      <c r="B157" s="10" t="s">
        <v>402</v>
      </c>
      <c r="C157" s="10" t="s">
        <v>403</v>
      </c>
      <c r="D157" s="10" t="n">
        <v>1</v>
      </c>
      <c r="E157" s="10" t="str">
        <f aca="false">INDEX(Dim_Department!$B$2:$B$5,MATCH(D157,Dim_Department!$A$2:$A$5,0))</f>
        <v>Nursing</v>
      </c>
      <c r="F157" s="10" t="s">
        <v>494</v>
      </c>
      <c r="G157" s="10"/>
      <c r="H157" s="10" t="s">
        <v>404</v>
      </c>
      <c r="I157" s="11" t="n">
        <v>45658</v>
      </c>
      <c r="J157" s="11" t="n">
        <v>46022</v>
      </c>
      <c r="K157" s="12" t="s">
        <v>495</v>
      </c>
      <c r="L157" s="10"/>
      <c r="M157" s="10"/>
      <c r="N157" s="12" t="s">
        <v>406</v>
      </c>
      <c r="O157" s="13"/>
      <c r="P157" s="13"/>
      <c r="Q157" s="10" t="s">
        <v>120</v>
      </c>
      <c r="R157" s="12" t="s">
        <v>496</v>
      </c>
      <c r="S157" s="10" t="s">
        <v>497</v>
      </c>
      <c r="T157" s="10" t="s">
        <v>78</v>
      </c>
      <c r="U157" s="12" t="s">
        <v>575</v>
      </c>
      <c r="V157" s="10" t="n">
        <f aca="false">COUNTIF(Bridge_Trip_Site!$A$2:$A$2000,A157)</f>
        <v>1</v>
      </c>
      <c r="W157" s="15" t="n">
        <v>466.67</v>
      </c>
      <c r="X157" s="14" t="str">
        <f aca="false">IF(AND(ISNUMBER(M157),ISNUMBER(W157)),M157*W157,"")</f>
        <v/>
      </c>
      <c r="Y157" s="10"/>
      <c r="Z157" s="12" t="s">
        <v>413</v>
      </c>
      <c r="AA157" s="12" t="s">
        <v>188</v>
      </c>
      <c r="AB157" s="12" t="s">
        <v>576</v>
      </c>
    </row>
    <row r="158" customFormat="false" ht="23.25" hidden="false" customHeight="true" outlineLevel="0" collapsed="false">
      <c r="A158" s="10" t="s">
        <v>577</v>
      </c>
      <c r="B158" s="10" t="s">
        <v>402</v>
      </c>
      <c r="C158" s="10" t="s">
        <v>403</v>
      </c>
      <c r="D158" s="10" t="n">
        <v>1</v>
      </c>
      <c r="E158" s="10" t="str">
        <f aca="false">INDEX(Dim_Department!$B$2:$B$5,MATCH(D158,Dim_Department!$A$2:$A$5,0))</f>
        <v>Nursing</v>
      </c>
      <c r="F158" s="10" t="s">
        <v>494</v>
      </c>
      <c r="G158" s="10"/>
      <c r="H158" s="10" t="s">
        <v>404</v>
      </c>
      <c r="I158" s="11" t="n">
        <v>45658</v>
      </c>
      <c r="J158" s="11" t="n">
        <v>46022</v>
      </c>
      <c r="K158" s="12" t="s">
        <v>495</v>
      </c>
      <c r="L158" s="10"/>
      <c r="M158" s="10"/>
      <c r="N158" s="12" t="s">
        <v>406</v>
      </c>
      <c r="O158" s="13"/>
      <c r="P158" s="13"/>
      <c r="Q158" s="10" t="s">
        <v>120</v>
      </c>
      <c r="R158" s="12" t="s">
        <v>496</v>
      </c>
      <c r="S158" s="10" t="s">
        <v>497</v>
      </c>
      <c r="T158" s="10" t="s">
        <v>78</v>
      </c>
      <c r="U158" s="12" t="s">
        <v>578</v>
      </c>
      <c r="V158" s="10" t="n">
        <f aca="false">COUNTIF(Bridge_Trip_Site!$A$2:$A$2000,A158)</f>
        <v>1</v>
      </c>
      <c r="W158" s="15" t="n">
        <v>200</v>
      </c>
      <c r="X158" s="14" t="str">
        <f aca="false">IF(AND(ISNUMBER(M158),ISNUMBER(W158)),M158*W158,"")</f>
        <v/>
      </c>
      <c r="Y158" s="10"/>
      <c r="Z158" s="12" t="s">
        <v>413</v>
      </c>
      <c r="AA158" s="12" t="s">
        <v>113</v>
      </c>
      <c r="AB158" s="12" t="s">
        <v>579</v>
      </c>
    </row>
    <row r="159" customFormat="false" ht="23.25" hidden="false" customHeight="true" outlineLevel="0" collapsed="false">
      <c r="A159" s="10" t="s">
        <v>580</v>
      </c>
      <c r="B159" s="10" t="s">
        <v>402</v>
      </c>
      <c r="C159" s="10" t="s">
        <v>403</v>
      </c>
      <c r="D159" s="10" t="n">
        <v>1</v>
      </c>
      <c r="E159" s="10" t="str">
        <f aca="false">INDEX(Dim_Department!$B$2:$B$5,MATCH(D159,Dim_Department!$A$2:$A$5,0))</f>
        <v>Nursing</v>
      </c>
      <c r="F159" s="10" t="s">
        <v>494</v>
      </c>
      <c r="G159" s="10"/>
      <c r="H159" s="10" t="s">
        <v>404</v>
      </c>
      <c r="I159" s="11" t="n">
        <v>45658</v>
      </c>
      <c r="J159" s="11" t="n">
        <v>46022</v>
      </c>
      <c r="K159" s="12" t="s">
        <v>495</v>
      </c>
      <c r="L159" s="10"/>
      <c r="M159" s="10"/>
      <c r="N159" s="12" t="s">
        <v>406</v>
      </c>
      <c r="O159" s="13"/>
      <c r="P159" s="13"/>
      <c r="Q159" s="10" t="s">
        <v>120</v>
      </c>
      <c r="R159" s="12" t="s">
        <v>496</v>
      </c>
      <c r="S159" s="10" t="s">
        <v>497</v>
      </c>
      <c r="T159" s="10" t="s">
        <v>78</v>
      </c>
      <c r="U159" s="12" t="s">
        <v>581</v>
      </c>
      <c r="V159" s="10" t="n">
        <f aca="false">COUNTIF(Bridge_Trip_Site!$A$2:$A$2000,A159)</f>
        <v>1</v>
      </c>
      <c r="W159" s="16" t="n">
        <f aca="false">README!$B$15</f>
        <v>3600</v>
      </c>
      <c r="X159" s="14" t="str">
        <f aca="false">IF(AND(ISNUMBER(M159),ISNUMBER(W159)),M159*W159,"")</f>
        <v/>
      </c>
      <c r="Y159" s="10"/>
      <c r="Z159" s="12" t="s">
        <v>428</v>
      </c>
      <c r="AA159" s="12"/>
      <c r="AB159" s="12" t="s">
        <v>582</v>
      </c>
    </row>
    <row r="160" customFormat="false" ht="23.25" hidden="false" customHeight="true" outlineLevel="0" collapsed="false">
      <c r="A160" s="10" t="s">
        <v>583</v>
      </c>
      <c r="B160" s="10" t="s">
        <v>402</v>
      </c>
      <c r="C160" s="10" t="s">
        <v>403</v>
      </c>
      <c r="D160" s="10" t="n">
        <v>1</v>
      </c>
      <c r="E160" s="10" t="str">
        <f aca="false">INDEX(Dim_Department!$B$2:$B$5,MATCH(D160,Dim_Department!$A$2:$A$5,0))</f>
        <v>Nursing</v>
      </c>
      <c r="F160" s="10" t="s">
        <v>494</v>
      </c>
      <c r="G160" s="10"/>
      <c r="H160" s="10" t="s">
        <v>404</v>
      </c>
      <c r="I160" s="11" t="n">
        <v>45658</v>
      </c>
      <c r="J160" s="11" t="n">
        <v>46022</v>
      </c>
      <c r="K160" s="12" t="s">
        <v>495</v>
      </c>
      <c r="L160" s="10"/>
      <c r="M160" s="10"/>
      <c r="N160" s="12" t="s">
        <v>406</v>
      </c>
      <c r="O160" s="13"/>
      <c r="P160" s="13"/>
      <c r="Q160" s="10" t="s">
        <v>120</v>
      </c>
      <c r="R160" s="12" t="s">
        <v>496</v>
      </c>
      <c r="S160" s="10" t="s">
        <v>497</v>
      </c>
      <c r="T160" s="10" t="s">
        <v>78</v>
      </c>
      <c r="U160" s="12" t="s">
        <v>440</v>
      </c>
      <c r="V160" s="10" t="n">
        <f aca="false">COUNTIF(Bridge_Trip_Site!$A$2:$A$2000,A160)</f>
        <v>1</v>
      </c>
      <c r="W160" s="15" t="n">
        <v>466.67</v>
      </c>
      <c r="X160" s="14" t="str">
        <f aca="false">IF(AND(ISNUMBER(M160),ISNUMBER(W160)),M160*W160,"")</f>
        <v/>
      </c>
      <c r="Y160" s="10"/>
      <c r="Z160" s="12" t="s">
        <v>413</v>
      </c>
      <c r="AA160" s="12" t="s">
        <v>208</v>
      </c>
      <c r="AB160" s="12" t="s">
        <v>565</v>
      </c>
    </row>
    <row r="161" customFormat="false" ht="23.25" hidden="false" customHeight="true" outlineLevel="0" collapsed="false">
      <c r="A161" s="10" t="s">
        <v>584</v>
      </c>
      <c r="B161" s="10" t="s">
        <v>402</v>
      </c>
      <c r="C161" s="10" t="s">
        <v>403</v>
      </c>
      <c r="D161" s="10" t="n">
        <v>1</v>
      </c>
      <c r="E161" s="10" t="str">
        <f aca="false">INDEX(Dim_Department!$B$2:$B$5,MATCH(D161,Dim_Department!$A$2:$A$5,0))</f>
        <v>Nursing</v>
      </c>
      <c r="F161" s="10" t="s">
        <v>494</v>
      </c>
      <c r="G161" s="10"/>
      <c r="H161" s="10" t="s">
        <v>404</v>
      </c>
      <c r="I161" s="11" t="n">
        <v>45658</v>
      </c>
      <c r="J161" s="11" t="n">
        <v>46022</v>
      </c>
      <c r="K161" s="12" t="s">
        <v>495</v>
      </c>
      <c r="L161" s="10"/>
      <c r="M161" s="10"/>
      <c r="N161" s="12" t="s">
        <v>406</v>
      </c>
      <c r="O161" s="13"/>
      <c r="P161" s="13"/>
      <c r="Q161" s="10" t="s">
        <v>120</v>
      </c>
      <c r="R161" s="12" t="s">
        <v>496</v>
      </c>
      <c r="S161" s="10" t="s">
        <v>497</v>
      </c>
      <c r="T161" s="10" t="s">
        <v>78</v>
      </c>
      <c r="U161" s="12" t="s">
        <v>422</v>
      </c>
      <c r="V161" s="10" t="n">
        <f aca="false">COUNTIF(Bridge_Trip_Site!$A$2:$A$2000,A161)</f>
        <v>1</v>
      </c>
      <c r="W161" s="15" t="n">
        <v>600</v>
      </c>
      <c r="X161" s="14" t="str">
        <f aca="false">IF(AND(ISNUMBER(M161),ISNUMBER(W161)),M161*W161,"")</f>
        <v/>
      </c>
      <c r="Y161" s="10"/>
      <c r="Z161" s="12" t="s">
        <v>413</v>
      </c>
      <c r="AA161" s="12" t="s">
        <v>204</v>
      </c>
      <c r="AB161" s="12" t="s">
        <v>585</v>
      </c>
    </row>
    <row r="162" customFormat="false" ht="23.25" hidden="false" customHeight="true" outlineLevel="0" collapsed="false">
      <c r="A162" s="10" t="s">
        <v>586</v>
      </c>
      <c r="B162" s="10" t="s">
        <v>402</v>
      </c>
      <c r="C162" s="10" t="s">
        <v>403</v>
      </c>
      <c r="D162" s="10" t="n">
        <v>1</v>
      </c>
      <c r="E162" s="10" t="str">
        <f aca="false">INDEX(Dim_Department!$B$2:$B$5,MATCH(D162,Dim_Department!$A$2:$A$5,0))</f>
        <v>Nursing</v>
      </c>
      <c r="F162" s="10" t="s">
        <v>494</v>
      </c>
      <c r="G162" s="10"/>
      <c r="H162" s="10" t="s">
        <v>404</v>
      </c>
      <c r="I162" s="11" t="n">
        <v>45658</v>
      </c>
      <c r="J162" s="11" t="n">
        <v>46022</v>
      </c>
      <c r="K162" s="12" t="s">
        <v>495</v>
      </c>
      <c r="L162" s="10"/>
      <c r="M162" s="10"/>
      <c r="N162" s="12" t="s">
        <v>406</v>
      </c>
      <c r="O162" s="13"/>
      <c r="P162" s="13"/>
      <c r="Q162" s="10" t="s">
        <v>120</v>
      </c>
      <c r="R162" s="12" t="s">
        <v>496</v>
      </c>
      <c r="S162" s="10" t="s">
        <v>497</v>
      </c>
      <c r="T162" s="10" t="s">
        <v>78</v>
      </c>
      <c r="U162" s="12" t="s">
        <v>427</v>
      </c>
      <c r="V162" s="10" t="n">
        <f aca="false">COUNTIF(Bridge_Trip_Site!$A$2:$A$2000,A162)</f>
        <v>1</v>
      </c>
      <c r="W162" s="15" t="n">
        <v>980</v>
      </c>
      <c r="X162" s="14" t="str">
        <f aca="false">IF(AND(ISNUMBER(M162),ISNUMBER(W162)),M162*W162,"")</f>
        <v/>
      </c>
      <c r="Y162" s="10"/>
      <c r="Z162" s="12" t="s">
        <v>409</v>
      </c>
      <c r="AA162" s="12" t="s">
        <v>80</v>
      </c>
      <c r="AB162" s="12" t="s">
        <v>529</v>
      </c>
    </row>
    <row r="163" customFormat="false" ht="23.25" hidden="false" customHeight="true" outlineLevel="0" collapsed="false">
      <c r="A163" s="10" t="s">
        <v>587</v>
      </c>
      <c r="B163" s="10" t="s">
        <v>402</v>
      </c>
      <c r="C163" s="10" t="s">
        <v>403</v>
      </c>
      <c r="D163" s="10" t="n">
        <v>1</v>
      </c>
      <c r="E163" s="10" t="str">
        <f aca="false">INDEX(Dim_Department!$B$2:$B$5,MATCH(D163,Dim_Department!$A$2:$A$5,0))</f>
        <v>Nursing</v>
      </c>
      <c r="F163" s="10" t="s">
        <v>494</v>
      </c>
      <c r="G163" s="10"/>
      <c r="H163" s="10" t="s">
        <v>404</v>
      </c>
      <c r="I163" s="11" t="n">
        <v>45658</v>
      </c>
      <c r="J163" s="11" t="n">
        <v>46022</v>
      </c>
      <c r="K163" s="12" t="s">
        <v>495</v>
      </c>
      <c r="L163" s="10"/>
      <c r="M163" s="10"/>
      <c r="N163" s="12" t="s">
        <v>406</v>
      </c>
      <c r="O163" s="13"/>
      <c r="P163" s="13"/>
      <c r="Q163" s="10" t="s">
        <v>120</v>
      </c>
      <c r="R163" s="12" t="s">
        <v>496</v>
      </c>
      <c r="S163" s="10" t="s">
        <v>497</v>
      </c>
      <c r="T163" s="10" t="s">
        <v>78</v>
      </c>
      <c r="U163" s="12" t="s">
        <v>588</v>
      </c>
      <c r="V163" s="10" t="n">
        <f aca="false">COUNTIF(Bridge_Trip_Site!$A$2:$A$2000,A163)</f>
        <v>1</v>
      </c>
      <c r="W163" s="15" t="n">
        <v>320</v>
      </c>
      <c r="X163" s="14" t="str">
        <f aca="false">IF(AND(ISNUMBER(M163),ISNUMBER(W163)),M163*W163,"")</f>
        <v/>
      </c>
      <c r="Y163" s="10"/>
      <c r="Z163" s="12" t="s">
        <v>413</v>
      </c>
      <c r="AA163" s="12" t="s">
        <v>283</v>
      </c>
      <c r="AB163" s="12" t="s">
        <v>549</v>
      </c>
    </row>
    <row r="164" customFormat="false" ht="23.25" hidden="false" customHeight="true" outlineLevel="0" collapsed="false">
      <c r="A164" s="10" t="s">
        <v>589</v>
      </c>
      <c r="B164" s="10" t="s">
        <v>402</v>
      </c>
      <c r="C164" s="10" t="s">
        <v>403</v>
      </c>
      <c r="D164" s="10" t="n">
        <v>1</v>
      </c>
      <c r="E164" s="10" t="str">
        <f aca="false">INDEX(Dim_Department!$B$2:$B$5,MATCH(D164,Dim_Department!$A$2:$A$5,0))</f>
        <v>Nursing</v>
      </c>
      <c r="F164" s="10" t="s">
        <v>494</v>
      </c>
      <c r="G164" s="10"/>
      <c r="H164" s="10" t="s">
        <v>404</v>
      </c>
      <c r="I164" s="11" t="n">
        <v>45658</v>
      </c>
      <c r="J164" s="11" t="n">
        <v>46022</v>
      </c>
      <c r="K164" s="12" t="s">
        <v>495</v>
      </c>
      <c r="L164" s="10"/>
      <c r="M164" s="10"/>
      <c r="N164" s="12" t="s">
        <v>406</v>
      </c>
      <c r="O164" s="13"/>
      <c r="P164" s="13"/>
      <c r="Q164" s="10" t="s">
        <v>120</v>
      </c>
      <c r="R164" s="12" t="s">
        <v>496</v>
      </c>
      <c r="S164" s="10" t="s">
        <v>497</v>
      </c>
      <c r="T164" s="10" t="s">
        <v>78</v>
      </c>
      <c r="U164" s="12" t="s">
        <v>458</v>
      </c>
      <c r="V164" s="10" t="n">
        <f aca="false">COUNTIF(Bridge_Trip_Site!$A$2:$A$2000,A164)</f>
        <v>1</v>
      </c>
      <c r="W164" s="15" t="n">
        <v>3800</v>
      </c>
      <c r="X164" s="14" t="str">
        <f aca="false">IF(AND(ISNUMBER(M164),ISNUMBER(W164)),M164*W164,"")</f>
        <v/>
      </c>
      <c r="Y164" s="10"/>
      <c r="Z164" s="12" t="s">
        <v>409</v>
      </c>
      <c r="AA164" s="12" t="s">
        <v>590</v>
      </c>
      <c r="AB164" s="12" t="s">
        <v>591</v>
      </c>
    </row>
    <row r="165" customFormat="false" ht="23.25" hidden="false" customHeight="true" outlineLevel="0" collapsed="false">
      <c r="A165" s="10" t="s">
        <v>592</v>
      </c>
      <c r="B165" s="10" t="s">
        <v>402</v>
      </c>
      <c r="C165" s="10" t="s">
        <v>403</v>
      </c>
      <c r="D165" s="10" t="n">
        <v>1</v>
      </c>
      <c r="E165" s="10" t="str">
        <f aca="false">INDEX(Dim_Department!$B$2:$B$5,MATCH(D165,Dim_Department!$A$2:$A$5,0))</f>
        <v>Nursing</v>
      </c>
      <c r="F165" s="10" t="s">
        <v>494</v>
      </c>
      <c r="G165" s="10"/>
      <c r="H165" s="10" t="s">
        <v>404</v>
      </c>
      <c r="I165" s="11" t="n">
        <v>45658</v>
      </c>
      <c r="J165" s="11" t="n">
        <v>46022</v>
      </c>
      <c r="K165" s="12" t="s">
        <v>495</v>
      </c>
      <c r="L165" s="10"/>
      <c r="M165" s="10"/>
      <c r="N165" s="12" t="s">
        <v>406</v>
      </c>
      <c r="O165" s="13"/>
      <c r="P165" s="13"/>
      <c r="Q165" s="10" t="s">
        <v>120</v>
      </c>
      <c r="R165" s="12" t="s">
        <v>496</v>
      </c>
      <c r="S165" s="10" t="s">
        <v>497</v>
      </c>
      <c r="T165" s="10" t="s">
        <v>78</v>
      </c>
      <c r="U165" s="12" t="s">
        <v>593</v>
      </c>
      <c r="V165" s="10" t="n">
        <f aca="false">COUNTIF(Bridge_Trip_Site!$A$2:$A$2000,A165)</f>
        <v>1</v>
      </c>
      <c r="W165" s="15" t="n">
        <v>326.67</v>
      </c>
      <c r="X165" s="14" t="str">
        <f aca="false">IF(AND(ISNUMBER(M165),ISNUMBER(W165)),M165*W165,"")</f>
        <v/>
      </c>
      <c r="Y165" s="10"/>
      <c r="Z165" s="12" t="s">
        <v>413</v>
      </c>
      <c r="AA165" s="12" t="s">
        <v>362</v>
      </c>
      <c r="AB165" s="12" t="s">
        <v>594</v>
      </c>
    </row>
    <row r="166" customFormat="false" ht="23.25" hidden="false" customHeight="true" outlineLevel="0" collapsed="false">
      <c r="A166" s="10" t="s">
        <v>595</v>
      </c>
      <c r="B166" s="10" t="s">
        <v>402</v>
      </c>
      <c r="C166" s="10" t="s">
        <v>403</v>
      </c>
      <c r="D166" s="10" t="n">
        <v>1</v>
      </c>
      <c r="E166" s="10" t="str">
        <f aca="false">INDEX(Dim_Department!$B$2:$B$5,MATCH(D166,Dim_Department!$A$2:$A$5,0))</f>
        <v>Nursing</v>
      </c>
      <c r="F166" s="10" t="s">
        <v>494</v>
      </c>
      <c r="G166" s="10"/>
      <c r="H166" s="10" t="s">
        <v>404</v>
      </c>
      <c r="I166" s="11" t="n">
        <v>45658</v>
      </c>
      <c r="J166" s="11" t="n">
        <v>46022</v>
      </c>
      <c r="K166" s="12" t="s">
        <v>495</v>
      </c>
      <c r="L166" s="10"/>
      <c r="M166" s="10"/>
      <c r="N166" s="12" t="s">
        <v>406</v>
      </c>
      <c r="O166" s="13"/>
      <c r="P166" s="13"/>
      <c r="Q166" s="10" t="s">
        <v>120</v>
      </c>
      <c r="R166" s="12" t="s">
        <v>496</v>
      </c>
      <c r="S166" s="10" t="s">
        <v>497</v>
      </c>
      <c r="T166" s="10" t="s">
        <v>78</v>
      </c>
      <c r="U166" s="12" t="s">
        <v>596</v>
      </c>
      <c r="V166" s="10" t="n">
        <f aca="false">COUNTIF(Bridge_Trip_Site!$A$2:$A$2000,A166)</f>
        <v>1</v>
      </c>
      <c r="W166" s="15" t="n">
        <v>466.67</v>
      </c>
      <c r="X166" s="14" t="str">
        <f aca="false">IF(AND(ISNUMBER(M166),ISNUMBER(W166)),M166*W166,"")</f>
        <v/>
      </c>
      <c r="Y166" s="10"/>
      <c r="Z166" s="12" t="s">
        <v>413</v>
      </c>
      <c r="AA166" s="12" t="s">
        <v>188</v>
      </c>
      <c r="AB166" s="12" t="s">
        <v>576</v>
      </c>
    </row>
    <row r="167" customFormat="false" ht="23.25" hidden="false" customHeight="true" outlineLevel="0" collapsed="false">
      <c r="A167" s="10" t="s">
        <v>597</v>
      </c>
      <c r="B167" s="10" t="s">
        <v>402</v>
      </c>
      <c r="C167" s="10" t="s">
        <v>403</v>
      </c>
      <c r="D167" s="10" t="n">
        <v>1</v>
      </c>
      <c r="E167" s="10" t="str">
        <f aca="false">INDEX(Dim_Department!$B$2:$B$5,MATCH(D167,Dim_Department!$A$2:$A$5,0))</f>
        <v>Nursing</v>
      </c>
      <c r="F167" s="10" t="s">
        <v>494</v>
      </c>
      <c r="G167" s="10"/>
      <c r="H167" s="10" t="s">
        <v>404</v>
      </c>
      <c r="I167" s="11" t="n">
        <v>45658</v>
      </c>
      <c r="J167" s="11" t="n">
        <v>46022</v>
      </c>
      <c r="K167" s="12" t="s">
        <v>495</v>
      </c>
      <c r="L167" s="10"/>
      <c r="M167" s="10"/>
      <c r="N167" s="12" t="s">
        <v>406</v>
      </c>
      <c r="O167" s="13"/>
      <c r="P167" s="13"/>
      <c r="Q167" s="10" t="s">
        <v>120</v>
      </c>
      <c r="R167" s="12" t="s">
        <v>496</v>
      </c>
      <c r="S167" s="10" t="s">
        <v>497</v>
      </c>
      <c r="T167" s="10" t="s">
        <v>78</v>
      </c>
      <c r="U167" s="12" t="s">
        <v>598</v>
      </c>
      <c r="V167" s="10" t="n">
        <f aca="false">COUNTIF(Bridge_Trip_Site!$A$2:$A$2000,A167)</f>
        <v>1</v>
      </c>
      <c r="W167" s="16" t="n">
        <f aca="false">README!$B$15</f>
        <v>3600</v>
      </c>
      <c r="X167" s="14" t="str">
        <f aca="false">IF(AND(ISNUMBER(M167),ISNUMBER(W167)),M167*W167,"")</f>
        <v/>
      </c>
      <c r="Y167" s="10"/>
      <c r="Z167" s="12" t="s">
        <v>428</v>
      </c>
      <c r="AA167" s="12"/>
      <c r="AB167" s="12" t="s">
        <v>429</v>
      </c>
    </row>
    <row r="168" customFormat="false" ht="23.25" hidden="false" customHeight="true" outlineLevel="0" collapsed="false">
      <c r="A168" s="10" t="s">
        <v>599</v>
      </c>
      <c r="B168" s="10" t="s">
        <v>402</v>
      </c>
      <c r="C168" s="10" t="s">
        <v>403</v>
      </c>
      <c r="D168" s="10" t="n">
        <v>1</v>
      </c>
      <c r="E168" s="10" t="str">
        <f aca="false">INDEX(Dim_Department!$B$2:$B$5,MATCH(D168,Dim_Department!$A$2:$A$5,0))</f>
        <v>Nursing</v>
      </c>
      <c r="F168" s="10" t="s">
        <v>494</v>
      </c>
      <c r="G168" s="10"/>
      <c r="H168" s="10" t="s">
        <v>404</v>
      </c>
      <c r="I168" s="11" t="n">
        <v>45658</v>
      </c>
      <c r="J168" s="11" t="n">
        <v>46022</v>
      </c>
      <c r="K168" s="12" t="s">
        <v>495</v>
      </c>
      <c r="L168" s="10"/>
      <c r="M168" s="10"/>
      <c r="N168" s="12" t="s">
        <v>406</v>
      </c>
      <c r="O168" s="13"/>
      <c r="P168" s="13"/>
      <c r="Q168" s="10" t="s">
        <v>120</v>
      </c>
      <c r="R168" s="12" t="s">
        <v>496</v>
      </c>
      <c r="S168" s="10" t="s">
        <v>497</v>
      </c>
      <c r="T168" s="10" t="s">
        <v>78</v>
      </c>
      <c r="U168" s="12" t="s">
        <v>600</v>
      </c>
      <c r="V168" s="10" t="n">
        <f aca="false">COUNTIF(Bridge_Trip_Site!$A$2:$A$2000,A168)</f>
        <v>1</v>
      </c>
      <c r="W168" s="15" t="n">
        <v>326.67</v>
      </c>
      <c r="X168" s="14" t="str">
        <f aca="false">IF(AND(ISNUMBER(M168),ISNUMBER(W168)),M168*W168,"")</f>
        <v/>
      </c>
      <c r="Y168" s="10"/>
      <c r="Z168" s="12" t="s">
        <v>413</v>
      </c>
      <c r="AA168" s="12" t="s">
        <v>362</v>
      </c>
      <c r="AB168" s="12" t="s">
        <v>594</v>
      </c>
    </row>
    <row r="169" customFormat="false" ht="23.25" hidden="false" customHeight="true" outlineLevel="0" collapsed="false">
      <c r="A169" s="10" t="s">
        <v>601</v>
      </c>
      <c r="B169" s="10" t="s">
        <v>402</v>
      </c>
      <c r="C169" s="10" t="s">
        <v>403</v>
      </c>
      <c r="D169" s="10" t="n">
        <v>1</v>
      </c>
      <c r="E169" s="10" t="str">
        <f aca="false">INDEX(Dim_Department!$B$2:$B$5,MATCH(D169,Dim_Department!$A$2:$A$5,0))</f>
        <v>Nursing</v>
      </c>
      <c r="F169" s="10" t="s">
        <v>494</v>
      </c>
      <c r="G169" s="10"/>
      <c r="H169" s="10" t="s">
        <v>404</v>
      </c>
      <c r="I169" s="11" t="n">
        <v>45658</v>
      </c>
      <c r="J169" s="11" t="n">
        <v>46022</v>
      </c>
      <c r="K169" s="12" t="s">
        <v>495</v>
      </c>
      <c r="L169" s="10"/>
      <c r="M169" s="10"/>
      <c r="N169" s="12" t="s">
        <v>406</v>
      </c>
      <c r="O169" s="13"/>
      <c r="P169" s="13"/>
      <c r="Q169" s="10" t="s">
        <v>120</v>
      </c>
      <c r="R169" s="12" t="s">
        <v>496</v>
      </c>
      <c r="S169" s="10" t="s">
        <v>497</v>
      </c>
      <c r="T169" s="10" t="s">
        <v>78</v>
      </c>
      <c r="U169" s="12" t="s">
        <v>412</v>
      </c>
      <c r="V169" s="10" t="n">
        <f aca="false">COUNTIF(Bridge_Trip_Site!$A$2:$A$2000,A169)</f>
        <v>1</v>
      </c>
      <c r="W169" s="15" t="n">
        <v>600</v>
      </c>
      <c r="X169" s="14" t="str">
        <f aca="false">IF(AND(ISNUMBER(M169),ISNUMBER(W169)),M169*W169,"")</f>
        <v/>
      </c>
      <c r="Y169" s="10"/>
      <c r="Z169" s="12" t="s">
        <v>413</v>
      </c>
      <c r="AA169" s="12" t="s">
        <v>204</v>
      </c>
      <c r="AB169" s="12" t="s">
        <v>585</v>
      </c>
    </row>
    <row r="170" customFormat="false" ht="23.25" hidden="false" customHeight="true" outlineLevel="0" collapsed="false">
      <c r="A170" s="10" t="s">
        <v>602</v>
      </c>
      <c r="B170" s="10" t="s">
        <v>402</v>
      </c>
      <c r="C170" s="10" t="s">
        <v>403</v>
      </c>
      <c r="D170" s="10" t="n">
        <v>1</v>
      </c>
      <c r="E170" s="10" t="str">
        <f aca="false">INDEX(Dim_Department!$B$2:$B$5,MATCH(D170,Dim_Department!$A$2:$A$5,0))</f>
        <v>Nursing</v>
      </c>
      <c r="F170" s="10" t="s">
        <v>494</v>
      </c>
      <c r="G170" s="10"/>
      <c r="H170" s="10" t="s">
        <v>404</v>
      </c>
      <c r="I170" s="11" t="n">
        <v>45658</v>
      </c>
      <c r="J170" s="11" t="n">
        <v>46022</v>
      </c>
      <c r="K170" s="12" t="s">
        <v>495</v>
      </c>
      <c r="L170" s="10"/>
      <c r="M170" s="10"/>
      <c r="N170" s="12" t="s">
        <v>406</v>
      </c>
      <c r="O170" s="13"/>
      <c r="P170" s="13"/>
      <c r="Q170" s="10" t="s">
        <v>120</v>
      </c>
      <c r="R170" s="12" t="s">
        <v>496</v>
      </c>
      <c r="S170" s="10" t="s">
        <v>497</v>
      </c>
      <c r="T170" s="10" t="s">
        <v>78</v>
      </c>
      <c r="U170" s="12" t="s">
        <v>603</v>
      </c>
      <c r="V170" s="10" t="n">
        <f aca="false">COUNTIF(Bridge_Trip_Site!$A$2:$A$2000,A170)</f>
        <v>1</v>
      </c>
      <c r="W170" s="15" t="n">
        <v>440</v>
      </c>
      <c r="X170" s="14" t="str">
        <f aca="false">IF(AND(ISNUMBER(M170),ISNUMBER(W170)),M170*W170,"")</f>
        <v/>
      </c>
      <c r="Y170" s="10"/>
      <c r="Z170" s="12" t="s">
        <v>413</v>
      </c>
      <c r="AA170" s="12" t="s">
        <v>291</v>
      </c>
      <c r="AB170" s="12" t="s">
        <v>604</v>
      </c>
    </row>
    <row r="171" customFormat="false" ht="23.25" hidden="false" customHeight="true" outlineLevel="0" collapsed="false">
      <c r="A171" s="10" t="s">
        <v>605</v>
      </c>
      <c r="B171" s="10" t="s">
        <v>402</v>
      </c>
      <c r="C171" s="10" t="s">
        <v>403</v>
      </c>
      <c r="D171" s="10" t="n">
        <v>1</v>
      </c>
      <c r="E171" s="10" t="str">
        <f aca="false">INDEX(Dim_Department!$B$2:$B$5,MATCH(D171,Dim_Department!$A$2:$A$5,0))</f>
        <v>Nursing</v>
      </c>
      <c r="F171" s="10" t="s">
        <v>494</v>
      </c>
      <c r="G171" s="10"/>
      <c r="H171" s="10" t="s">
        <v>404</v>
      </c>
      <c r="I171" s="11" t="n">
        <v>45658</v>
      </c>
      <c r="J171" s="11" t="n">
        <v>46022</v>
      </c>
      <c r="K171" s="12" t="s">
        <v>495</v>
      </c>
      <c r="L171" s="10"/>
      <c r="M171" s="10"/>
      <c r="N171" s="12" t="s">
        <v>406</v>
      </c>
      <c r="O171" s="13"/>
      <c r="P171" s="13"/>
      <c r="Q171" s="10" t="s">
        <v>120</v>
      </c>
      <c r="R171" s="12" t="s">
        <v>496</v>
      </c>
      <c r="S171" s="10" t="s">
        <v>497</v>
      </c>
      <c r="T171" s="10" t="s">
        <v>78</v>
      </c>
      <c r="U171" s="12" t="s">
        <v>606</v>
      </c>
      <c r="V171" s="10" t="n">
        <f aca="false">COUNTIF(Bridge_Trip_Site!$A$2:$A$2000,A171)</f>
        <v>1</v>
      </c>
      <c r="W171" s="15" t="n">
        <v>266.67</v>
      </c>
      <c r="X171" s="14" t="str">
        <f aca="false">IF(AND(ISNUMBER(M171),ISNUMBER(W171)),M171*W171,"")</f>
        <v/>
      </c>
      <c r="Y171" s="10"/>
      <c r="Z171" s="12" t="s">
        <v>413</v>
      </c>
      <c r="AA171" s="12" t="s">
        <v>105</v>
      </c>
      <c r="AB171" s="12" t="s">
        <v>607</v>
      </c>
    </row>
    <row r="172" customFormat="false" ht="23.25" hidden="false" customHeight="true" outlineLevel="0" collapsed="false">
      <c r="A172" s="10" t="s">
        <v>608</v>
      </c>
      <c r="B172" s="10" t="s">
        <v>402</v>
      </c>
      <c r="C172" s="10" t="s">
        <v>403</v>
      </c>
      <c r="D172" s="10" t="n">
        <v>1</v>
      </c>
      <c r="E172" s="10" t="str">
        <f aca="false">INDEX(Dim_Department!$B$2:$B$5,MATCH(D172,Dim_Department!$A$2:$A$5,0))</f>
        <v>Nursing</v>
      </c>
      <c r="F172" s="10" t="s">
        <v>494</v>
      </c>
      <c r="G172" s="10"/>
      <c r="H172" s="10" t="s">
        <v>404</v>
      </c>
      <c r="I172" s="11" t="n">
        <v>45658</v>
      </c>
      <c r="J172" s="11" t="n">
        <v>46022</v>
      </c>
      <c r="K172" s="12" t="s">
        <v>495</v>
      </c>
      <c r="L172" s="10"/>
      <c r="M172" s="10"/>
      <c r="N172" s="12" t="s">
        <v>406</v>
      </c>
      <c r="O172" s="13"/>
      <c r="P172" s="13"/>
      <c r="Q172" s="10" t="s">
        <v>120</v>
      </c>
      <c r="R172" s="12" t="s">
        <v>496</v>
      </c>
      <c r="S172" s="10" t="s">
        <v>497</v>
      </c>
      <c r="T172" s="10" t="s">
        <v>78</v>
      </c>
      <c r="U172" s="12" t="s">
        <v>609</v>
      </c>
      <c r="V172" s="10" t="n">
        <f aca="false">COUNTIF(Bridge_Trip_Site!$A$2:$A$2000,A172)</f>
        <v>1</v>
      </c>
      <c r="W172" s="16" t="n">
        <f aca="false">README!$B$15</f>
        <v>3600</v>
      </c>
      <c r="X172" s="14" t="str">
        <f aca="false">IF(AND(ISNUMBER(M172),ISNUMBER(W172)),M172*W172,"")</f>
        <v/>
      </c>
      <c r="Y172" s="10"/>
      <c r="Z172" s="12" t="s">
        <v>428</v>
      </c>
      <c r="AA172" s="12"/>
      <c r="AB172" s="12" t="s">
        <v>429</v>
      </c>
    </row>
    <row r="173" customFormat="false" ht="23.25" hidden="false" customHeight="true" outlineLevel="0" collapsed="false">
      <c r="A173" s="10" t="s">
        <v>610</v>
      </c>
      <c r="B173" s="10" t="s">
        <v>402</v>
      </c>
      <c r="C173" s="10" t="s">
        <v>403</v>
      </c>
      <c r="D173" s="10" t="n">
        <v>1</v>
      </c>
      <c r="E173" s="10" t="str">
        <f aca="false">INDEX(Dim_Department!$B$2:$B$5,MATCH(D173,Dim_Department!$A$2:$A$5,0))</f>
        <v>Nursing</v>
      </c>
      <c r="F173" s="10" t="s">
        <v>494</v>
      </c>
      <c r="G173" s="10"/>
      <c r="H173" s="10" t="s">
        <v>404</v>
      </c>
      <c r="I173" s="11" t="n">
        <v>45658</v>
      </c>
      <c r="J173" s="11" t="n">
        <v>46022</v>
      </c>
      <c r="K173" s="12" t="s">
        <v>495</v>
      </c>
      <c r="L173" s="10"/>
      <c r="M173" s="10"/>
      <c r="N173" s="12" t="s">
        <v>406</v>
      </c>
      <c r="O173" s="13"/>
      <c r="P173" s="13"/>
      <c r="Q173" s="10" t="s">
        <v>120</v>
      </c>
      <c r="R173" s="12" t="s">
        <v>496</v>
      </c>
      <c r="S173" s="10" t="s">
        <v>497</v>
      </c>
      <c r="T173" s="10" t="s">
        <v>78</v>
      </c>
      <c r="U173" s="12" t="s">
        <v>611</v>
      </c>
      <c r="V173" s="10" t="n">
        <f aca="false">COUNTIF(Bridge_Trip_Site!$A$2:$A$2000,A173)</f>
        <v>1</v>
      </c>
      <c r="W173" s="15" t="n">
        <v>320</v>
      </c>
      <c r="X173" s="14" t="str">
        <f aca="false">IF(AND(ISNUMBER(M173),ISNUMBER(W173)),M173*W173,"")</f>
        <v/>
      </c>
      <c r="Y173" s="10"/>
      <c r="Z173" s="12" t="s">
        <v>413</v>
      </c>
      <c r="AA173" s="12" t="s">
        <v>287</v>
      </c>
      <c r="AB173" s="12" t="s">
        <v>612</v>
      </c>
    </row>
    <row r="174" customFormat="false" ht="23.25" hidden="false" customHeight="true" outlineLevel="0" collapsed="false">
      <c r="A174" s="10" t="s">
        <v>613</v>
      </c>
      <c r="B174" s="10" t="s">
        <v>402</v>
      </c>
      <c r="C174" s="10" t="s">
        <v>403</v>
      </c>
      <c r="D174" s="10" t="n">
        <v>1</v>
      </c>
      <c r="E174" s="10" t="str">
        <f aca="false">INDEX(Dim_Department!$B$2:$B$5,MATCH(D174,Dim_Department!$A$2:$A$5,0))</f>
        <v>Nursing</v>
      </c>
      <c r="F174" s="10" t="s">
        <v>494</v>
      </c>
      <c r="G174" s="10"/>
      <c r="H174" s="10" t="s">
        <v>404</v>
      </c>
      <c r="I174" s="11" t="n">
        <v>45658</v>
      </c>
      <c r="J174" s="11" t="n">
        <v>46022</v>
      </c>
      <c r="K174" s="12" t="s">
        <v>495</v>
      </c>
      <c r="L174" s="10"/>
      <c r="M174" s="10"/>
      <c r="N174" s="12" t="s">
        <v>406</v>
      </c>
      <c r="O174" s="13"/>
      <c r="P174" s="13"/>
      <c r="Q174" s="10" t="s">
        <v>120</v>
      </c>
      <c r="R174" s="12" t="s">
        <v>496</v>
      </c>
      <c r="S174" s="10" t="s">
        <v>497</v>
      </c>
      <c r="T174" s="10" t="s">
        <v>78</v>
      </c>
      <c r="U174" s="12" t="s">
        <v>614</v>
      </c>
      <c r="V174" s="10" t="n">
        <f aca="false">COUNTIF(Bridge_Trip_Site!$A$2:$A$2000,A174)</f>
        <v>1</v>
      </c>
      <c r="W174" s="15" t="n">
        <v>196</v>
      </c>
      <c r="X174" s="14" t="str">
        <f aca="false">IF(AND(ISNUMBER(M174),ISNUMBER(W174)),M174*W174,"")</f>
        <v/>
      </c>
      <c r="Y174" s="10"/>
      <c r="Z174" s="12" t="s">
        <v>413</v>
      </c>
      <c r="AA174" s="12" t="s">
        <v>97</v>
      </c>
      <c r="AB174" s="12" t="s">
        <v>512</v>
      </c>
    </row>
    <row r="175" customFormat="false" ht="23.25" hidden="false" customHeight="true" outlineLevel="0" collapsed="false">
      <c r="A175" s="10" t="s">
        <v>615</v>
      </c>
      <c r="B175" s="10" t="s">
        <v>402</v>
      </c>
      <c r="C175" s="10" t="s">
        <v>403</v>
      </c>
      <c r="D175" s="10" t="n">
        <v>1</v>
      </c>
      <c r="E175" s="10" t="str">
        <f aca="false">INDEX(Dim_Department!$B$2:$B$5,MATCH(D175,Dim_Department!$A$2:$A$5,0))</f>
        <v>Nursing</v>
      </c>
      <c r="F175" s="10" t="s">
        <v>494</v>
      </c>
      <c r="G175" s="10"/>
      <c r="H175" s="10" t="s">
        <v>404</v>
      </c>
      <c r="I175" s="11" t="n">
        <v>45658</v>
      </c>
      <c r="J175" s="11" t="n">
        <v>46022</v>
      </c>
      <c r="K175" s="12" t="s">
        <v>495</v>
      </c>
      <c r="L175" s="10"/>
      <c r="M175" s="10"/>
      <c r="N175" s="12" t="s">
        <v>406</v>
      </c>
      <c r="O175" s="13"/>
      <c r="P175" s="13"/>
      <c r="Q175" s="10" t="s">
        <v>120</v>
      </c>
      <c r="R175" s="12" t="s">
        <v>496</v>
      </c>
      <c r="S175" s="10" t="s">
        <v>497</v>
      </c>
      <c r="T175" s="10" t="s">
        <v>78</v>
      </c>
      <c r="U175" s="12" t="s">
        <v>616</v>
      </c>
      <c r="V175" s="10" t="n">
        <f aca="false">COUNTIF(Bridge_Trip_Site!$A$2:$A$2000,A175)</f>
        <v>1</v>
      </c>
      <c r="W175" s="15" t="n">
        <v>350</v>
      </c>
      <c r="X175" s="14" t="str">
        <f aca="false">IF(AND(ISNUMBER(M175),ISNUMBER(W175)),M175*W175,"")</f>
        <v/>
      </c>
      <c r="Y175" s="10"/>
      <c r="Z175" s="12" t="s">
        <v>413</v>
      </c>
      <c r="AA175" s="12" t="s">
        <v>100</v>
      </c>
      <c r="AB175" s="12" t="s">
        <v>542</v>
      </c>
    </row>
    <row r="176" customFormat="false" ht="23.25" hidden="false" customHeight="true" outlineLevel="0" collapsed="false">
      <c r="A176" s="10" t="s">
        <v>617</v>
      </c>
      <c r="B176" s="10" t="s">
        <v>402</v>
      </c>
      <c r="C176" s="10" t="s">
        <v>403</v>
      </c>
      <c r="D176" s="10" t="n">
        <v>1</v>
      </c>
      <c r="E176" s="10" t="str">
        <f aca="false">INDEX(Dim_Department!$B$2:$B$5,MATCH(D176,Dim_Department!$A$2:$A$5,0))</f>
        <v>Nursing</v>
      </c>
      <c r="F176" s="10" t="s">
        <v>494</v>
      </c>
      <c r="G176" s="10"/>
      <c r="H176" s="10" t="s">
        <v>404</v>
      </c>
      <c r="I176" s="11" t="n">
        <v>45658</v>
      </c>
      <c r="J176" s="11" t="n">
        <v>46022</v>
      </c>
      <c r="K176" s="12" t="s">
        <v>495</v>
      </c>
      <c r="L176" s="10"/>
      <c r="M176" s="10"/>
      <c r="N176" s="12" t="s">
        <v>406</v>
      </c>
      <c r="O176" s="13"/>
      <c r="P176" s="13"/>
      <c r="Q176" s="10" t="s">
        <v>120</v>
      </c>
      <c r="R176" s="12" t="s">
        <v>496</v>
      </c>
      <c r="S176" s="10" t="s">
        <v>497</v>
      </c>
      <c r="T176" s="10" t="s">
        <v>78</v>
      </c>
      <c r="U176" s="12" t="s">
        <v>618</v>
      </c>
      <c r="V176" s="10" t="n">
        <f aca="false">COUNTIF(Bridge_Trip_Site!$A$2:$A$2000,A176)</f>
        <v>1</v>
      </c>
      <c r="W176" s="15" t="n">
        <v>466.67</v>
      </c>
      <c r="X176" s="14" t="str">
        <f aca="false">IF(AND(ISNUMBER(M176),ISNUMBER(W176)),M176*W176,"")</f>
        <v/>
      </c>
      <c r="Y176" s="10"/>
      <c r="Z176" s="12" t="s">
        <v>413</v>
      </c>
      <c r="AA176" s="12" t="s">
        <v>188</v>
      </c>
      <c r="AB176" s="12" t="s">
        <v>576</v>
      </c>
    </row>
    <row r="177" customFormat="false" ht="23.25" hidden="false" customHeight="true" outlineLevel="0" collapsed="false">
      <c r="A177" s="10" t="s">
        <v>619</v>
      </c>
      <c r="B177" s="10" t="s">
        <v>402</v>
      </c>
      <c r="C177" s="10" t="s">
        <v>403</v>
      </c>
      <c r="D177" s="10" t="n">
        <v>1</v>
      </c>
      <c r="E177" s="10" t="str">
        <f aca="false">INDEX(Dim_Department!$B$2:$B$5,MATCH(D177,Dim_Department!$A$2:$A$5,0))</f>
        <v>Nursing</v>
      </c>
      <c r="F177" s="10" t="s">
        <v>494</v>
      </c>
      <c r="G177" s="10"/>
      <c r="H177" s="10" t="s">
        <v>404</v>
      </c>
      <c r="I177" s="11" t="n">
        <v>45658</v>
      </c>
      <c r="J177" s="11" t="n">
        <v>46022</v>
      </c>
      <c r="K177" s="12" t="s">
        <v>495</v>
      </c>
      <c r="L177" s="10"/>
      <c r="M177" s="10"/>
      <c r="N177" s="12" t="s">
        <v>406</v>
      </c>
      <c r="O177" s="13"/>
      <c r="P177" s="13"/>
      <c r="Q177" s="10" t="s">
        <v>120</v>
      </c>
      <c r="R177" s="12" t="s">
        <v>496</v>
      </c>
      <c r="S177" s="10" t="s">
        <v>497</v>
      </c>
      <c r="T177" s="10" t="s">
        <v>78</v>
      </c>
      <c r="U177" s="12" t="s">
        <v>620</v>
      </c>
      <c r="V177" s="10" t="n">
        <f aca="false">COUNTIF(Bridge_Trip_Site!$A$2:$A$2000,A177)</f>
        <v>1</v>
      </c>
      <c r="W177" s="15" t="n">
        <v>200</v>
      </c>
      <c r="X177" s="14" t="str">
        <f aca="false">IF(AND(ISNUMBER(M177),ISNUMBER(W177)),M177*W177,"")</f>
        <v/>
      </c>
      <c r="Y177" s="10"/>
      <c r="Z177" s="12" t="s">
        <v>413</v>
      </c>
      <c r="AA177" s="12" t="s">
        <v>113</v>
      </c>
      <c r="AB177" s="12" t="s">
        <v>579</v>
      </c>
    </row>
    <row r="178" customFormat="false" ht="23.25" hidden="false" customHeight="true" outlineLevel="0" collapsed="false">
      <c r="A178" s="10" t="s">
        <v>621</v>
      </c>
      <c r="B178" s="10" t="s">
        <v>402</v>
      </c>
      <c r="C178" s="10" t="s">
        <v>403</v>
      </c>
      <c r="D178" s="10" t="n">
        <v>1</v>
      </c>
      <c r="E178" s="10" t="str">
        <f aca="false">INDEX(Dim_Department!$B$2:$B$5,MATCH(D178,Dim_Department!$A$2:$A$5,0))</f>
        <v>Nursing</v>
      </c>
      <c r="F178" s="10" t="s">
        <v>494</v>
      </c>
      <c r="G178" s="10"/>
      <c r="H178" s="10" t="s">
        <v>404</v>
      </c>
      <c r="I178" s="11" t="n">
        <v>45658</v>
      </c>
      <c r="J178" s="11" t="n">
        <v>46022</v>
      </c>
      <c r="K178" s="12" t="s">
        <v>495</v>
      </c>
      <c r="L178" s="10"/>
      <c r="M178" s="10"/>
      <c r="N178" s="12" t="s">
        <v>406</v>
      </c>
      <c r="O178" s="13"/>
      <c r="P178" s="13"/>
      <c r="Q178" s="10" t="s">
        <v>120</v>
      </c>
      <c r="R178" s="12" t="s">
        <v>496</v>
      </c>
      <c r="S178" s="10" t="s">
        <v>497</v>
      </c>
      <c r="T178" s="10" t="s">
        <v>78</v>
      </c>
      <c r="U178" s="12" t="s">
        <v>622</v>
      </c>
      <c r="V178" s="10" t="n">
        <f aca="false">COUNTIF(Bridge_Trip_Site!$A$2:$A$2000,A178)</f>
        <v>1</v>
      </c>
      <c r="W178" s="15" t="n">
        <v>3400</v>
      </c>
      <c r="X178" s="14" t="str">
        <f aca="false">IF(AND(ISNUMBER(M178),ISNUMBER(W178)),M178*W178,"")</f>
        <v/>
      </c>
      <c r="Y178" s="10"/>
      <c r="Z178" s="12" t="s">
        <v>409</v>
      </c>
      <c r="AA178" s="12" t="s">
        <v>623</v>
      </c>
      <c r="AB178" s="12" t="s">
        <v>624</v>
      </c>
    </row>
    <row r="179" customFormat="false" ht="23.25" hidden="false" customHeight="true" outlineLevel="0" collapsed="false">
      <c r="A179" s="10" t="s">
        <v>625</v>
      </c>
      <c r="B179" s="10" t="s">
        <v>402</v>
      </c>
      <c r="C179" s="10" t="s">
        <v>403</v>
      </c>
      <c r="D179" s="10" t="n">
        <v>1</v>
      </c>
      <c r="E179" s="10" t="str">
        <f aca="false">INDEX(Dim_Department!$B$2:$B$5,MATCH(D179,Dim_Department!$A$2:$A$5,0))</f>
        <v>Nursing</v>
      </c>
      <c r="F179" s="10" t="s">
        <v>494</v>
      </c>
      <c r="G179" s="10"/>
      <c r="H179" s="10" t="s">
        <v>404</v>
      </c>
      <c r="I179" s="11" t="n">
        <v>45658</v>
      </c>
      <c r="J179" s="11" t="n">
        <v>46022</v>
      </c>
      <c r="K179" s="12" t="s">
        <v>495</v>
      </c>
      <c r="L179" s="10"/>
      <c r="M179" s="10"/>
      <c r="N179" s="12" t="s">
        <v>406</v>
      </c>
      <c r="O179" s="13"/>
      <c r="P179" s="13"/>
      <c r="Q179" s="10" t="s">
        <v>120</v>
      </c>
      <c r="R179" s="12" t="s">
        <v>496</v>
      </c>
      <c r="S179" s="10" t="s">
        <v>497</v>
      </c>
      <c r="T179" s="10" t="s">
        <v>78</v>
      </c>
      <c r="U179" s="12" t="s">
        <v>626</v>
      </c>
      <c r="V179" s="10" t="n">
        <f aca="false">COUNTIF(Bridge_Trip_Site!$A$2:$A$2000,A179)</f>
        <v>1</v>
      </c>
      <c r="W179" s="16" t="n">
        <f aca="false">README!$B$15</f>
        <v>3600</v>
      </c>
      <c r="X179" s="14" t="str">
        <f aca="false">IF(AND(ISNUMBER(M179),ISNUMBER(W179)),M179*W179,"")</f>
        <v/>
      </c>
      <c r="Y179" s="10"/>
      <c r="Z179" s="12" t="s">
        <v>428</v>
      </c>
      <c r="AA179" s="12"/>
      <c r="AB179" s="12" t="s">
        <v>429</v>
      </c>
    </row>
    <row r="180" customFormat="false" ht="23.25" hidden="false" customHeight="true" outlineLevel="0" collapsed="false">
      <c r="A180" s="10" t="s">
        <v>627</v>
      </c>
      <c r="B180" s="10" t="s">
        <v>402</v>
      </c>
      <c r="C180" s="10" t="s">
        <v>403</v>
      </c>
      <c r="D180" s="10" t="n">
        <v>1</v>
      </c>
      <c r="E180" s="10" t="str">
        <f aca="false">INDEX(Dim_Department!$B$2:$B$5,MATCH(D180,Dim_Department!$A$2:$A$5,0))</f>
        <v>Nursing</v>
      </c>
      <c r="F180" s="10" t="s">
        <v>494</v>
      </c>
      <c r="G180" s="10"/>
      <c r="H180" s="10" t="s">
        <v>404</v>
      </c>
      <c r="I180" s="11" t="n">
        <v>45658</v>
      </c>
      <c r="J180" s="11" t="n">
        <v>46022</v>
      </c>
      <c r="K180" s="12" t="s">
        <v>495</v>
      </c>
      <c r="L180" s="10"/>
      <c r="M180" s="10"/>
      <c r="N180" s="12" t="s">
        <v>406</v>
      </c>
      <c r="O180" s="13"/>
      <c r="P180" s="13"/>
      <c r="Q180" s="10" t="s">
        <v>120</v>
      </c>
      <c r="R180" s="12" t="s">
        <v>496</v>
      </c>
      <c r="S180" s="10" t="s">
        <v>497</v>
      </c>
      <c r="T180" s="10" t="s">
        <v>78</v>
      </c>
      <c r="U180" s="12" t="s">
        <v>628</v>
      </c>
      <c r="V180" s="10" t="n">
        <f aca="false">COUNTIF(Bridge_Trip_Site!$A$2:$A$2000,A180)</f>
        <v>1</v>
      </c>
      <c r="W180" s="15" t="n">
        <v>866.67</v>
      </c>
      <c r="X180" s="14" t="str">
        <f aca="false">IF(AND(ISNUMBER(M180),ISNUMBER(W180)),M180*W180,"")</f>
        <v/>
      </c>
      <c r="Y180" s="10"/>
      <c r="Z180" s="12" t="s">
        <v>413</v>
      </c>
      <c r="AA180" s="12" t="s">
        <v>102</v>
      </c>
      <c r="AB180" s="12" t="s">
        <v>573</v>
      </c>
    </row>
    <row r="181" customFormat="false" ht="23.25" hidden="false" customHeight="true" outlineLevel="0" collapsed="false">
      <c r="A181" s="10" t="s">
        <v>629</v>
      </c>
      <c r="B181" s="10" t="s">
        <v>402</v>
      </c>
      <c r="C181" s="10" t="s">
        <v>403</v>
      </c>
      <c r="D181" s="10" t="n">
        <v>1</v>
      </c>
      <c r="E181" s="10" t="str">
        <f aca="false">INDEX(Dim_Department!$B$2:$B$5,MATCH(D181,Dim_Department!$A$2:$A$5,0))</f>
        <v>Nursing</v>
      </c>
      <c r="F181" s="10" t="s">
        <v>494</v>
      </c>
      <c r="G181" s="10"/>
      <c r="H181" s="10" t="s">
        <v>404</v>
      </c>
      <c r="I181" s="11" t="n">
        <v>45658</v>
      </c>
      <c r="J181" s="11" t="n">
        <v>46022</v>
      </c>
      <c r="K181" s="12" t="s">
        <v>495</v>
      </c>
      <c r="L181" s="10"/>
      <c r="M181" s="10"/>
      <c r="N181" s="12" t="s">
        <v>406</v>
      </c>
      <c r="O181" s="13"/>
      <c r="P181" s="13"/>
      <c r="Q181" s="10" t="s">
        <v>120</v>
      </c>
      <c r="R181" s="12" t="s">
        <v>496</v>
      </c>
      <c r="S181" s="10" t="s">
        <v>497</v>
      </c>
      <c r="T181" s="10" t="s">
        <v>78</v>
      </c>
      <c r="U181" s="12" t="s">
        <v>630</v>
      </c>
      <c r="V181" s="10" t="n">
        <f aca="false">COUNTIF(Bridge_Trip_Site!$A$2:$A$2000,A181)</f>
        <v>1</v>
      </c>
      <c r="W181" s="15" t="n">
        <v>326.67</v>
      </c>
      <c r="X181" s="14" t="str">
        <f aca="false">IF(AND(ISNUMBER(M181),ISNUMBER(W181)),M181*W181,"")</f>
        <v/>
      </c>
      <c r="Y181" s="10"/>
      <c r="Z181" s="12" t="s">
        <v>413</v>
      </c>
      <c r="AA181" s="12" t="s">
        <v>362</v>
      </c>
      <c r="AB181" s="12" t="s">
        <v>594</v>
      </c>
    </row>
    <row r="182" customFormat="false" ht="23.25" hidden="false" customHeight="true" outlineLevel="0" collapsed="false">
      <c r="A182" s="10" t="s">
        <v>631</v>
      </c>
      <c r="B182" s="10" t="s">
        <v>402</v>
      </c>
      <c r="C182" s="10" t="s">
        <v>403</v>
      </c>
      <c r="D182" s="10" t="n">
        <v>1</v>
      </c>
      <c r="E182" s="10" t="str">
        <f aca="false">INDEX(Dim_Department!$B$2:$B$5,MATCH(D182,Dim_Department!$A$2:$A$5,0))</f>
        <v>Nursing</v>
      </c>
      <c r="F182" s="10" t="s">
        <v>494</v>
      </c>
      <c r="G182" s="10"/>
      <c r="H182" s="10" t="s">
        <v>404</v>
      </c>
      <c r="I182" s="11" t="n">
        <v>45658</v>
      </c>
      <c r="J182" s="11" t="n">
        <v>46022</v>
      </c>
      <c r="K182" s="12" t="s">
        <v>495</v>
      </c>
      <c r="L182" s="10"/>
      <c r="M182" s="10"/>
      <c r="N182" s="12" t="s">
        <v>406</v>
      </c>
      <c r="O182" s="13"/>
      <c r="P182" s="13"/>
      <c r="Q182" s="10" t="s">
        <v>120</v>
      </c>
      <c r="R182" s="12" t="s">
        <v>496</v>
      </c>
      <c r="S182" s="10" t="s">
        <v>497</v>
      </c>
      <c r="T182" s="10" t="s">
        <v>78</v>
      </c>
      <c r="U182" s="12" t="s">
        <v>481</v>
      </c>
      <c r="V182" s="10" t="n">
        <f aca="false">COUNTIF(Bridge_Trip_Site!$A$2:$A$2000,A182)</f>
        <v>1</v>
      </c>
      <c r="W182" s="15" t="n">
        <v>350</v>
      </c>
      <c r="X182" s="14" t="str">
        <f aca="false">IF(AND(ISNUMBER(M182),ISNUMBER(W182)),M182*W182,"")</f>
        <v/>
      </c>
      <c r="Y182" s="10"/>
      <c r="Z182" s="12" t="s">
        <v>413</v>
      </c>
      <c r="AA182" s="12" t="s">
        <v>100</v>
      </c>
      <c r="AB182" s="12" t="s">
        <v>542</v>
      </c>
    </row>
    <row r="183" customFormat="false" ht="23.25" hidden="false" customHeight="true" outlineLevel="0" collapsed="false">
      <c r="A183" s="10" t="s">
        <v>632</v>
      </c>
      <c r="B183" s="10" t="s">
        <v>402</v>
      </c>
      <c r="C183" s="10" t="s">
        <v>403</v>
      </c>
      <c r="D183" s="10" t="n">
        <v>1</v>
      </c>
      <c r="E183" s="10" t="str">
        <f aca="false">INDEX(Dim_Department!$B$2:$B$5,MATCH(D183,Dim_Department!$A$2:$A$5,0))</f>
        <v>Nursing</v>
      </c>
      <c r="F183" s="10" t="s">
        <v>494</v>
      </c>
      <c r="G183" s="10"/>
      <c r="H183" s="10" t="s">
        <v>404</v>
      </c>
      <c r="I183" s="11" t="n">
        <v>45658</v>
      </c>
      <c r="J183" s="11" t="n">
        <v>46022</v>
      </c>
      <c r="K183" s="12" t="s">
        <v>495</v>
      </c>
      <c r="L183" s="10"/>
      <c r="M183" s="10"/>
      <c r="N183" s="12" t="s">
        <v>406</v>
      </c>
      <c r="O183" s="13"/>
      <c r="P183" s="13"/>
      <c r="Q183" s="10" t="s">
        <v>120</v>
      </c>
      <c r="R183" s="12" t="s">
        <v>496</v>
      </c>
      <c r="S183" s="10" t="s">
        <v>497</v>
      </c>
      <c r="T183" s="10" t="s">
        <v>78</v>
      </c>
      <c r="U183" s="12" t="s">
        <v>633</v>
      </c>
      <c r="V183" s="10" t="n">
        <f aca="false">COUNTIF(Bridge_Trip_Site!$A$2:$A$2000,A183)</f>
        <v>1</v>
      </c>
      <c r="W183" s="16" t="n">
        <f aca="false">README!$B$15</f>
        <v>3600</v>
      </c>
      <c r="X183" s="14" t="str">
        <f aca="false">IF(AND(ISNUMBER(M183),ISNUMBER(W183)),M183*W183,"")</f>
        <v/>
      </c>
      <c r="Y183" s="10"/>
      <c r="Z183" s="12" t="s">
        <v>428</v>
      </c>
      <c r="AA183" s="12"/>
      <c r="AB183" s="12" t="s">
        <v>429</v>
      </c>
    </row>
    <row r="184" customFormat="false" ht="23.25" hidden="false" customHeight="true" outlineLevel="0" collapsed="false">
      <c r="A184" s="10" t="s">
        <v>634</v>
      </c>
      <c r="B184" s="10" t="s">
        <v>402</v>
      </c>
      <c r="C184" s="10" t="s">
        <v>403</v>
      </c>
      <c r="D184" s="10" t="n">
        <v>1</v>
      </c>
      <c r="E184" s="10" t="str">
        <f aca="false">INDEX(Dim_Department!$B$2:$B$5,MATCH(D184,Dim_Department!$A$2:$A$5,0))</f>
        <v>Nursing</v>
      </c>
      <c r="F184" s="10" t="s">
        <v>494</v>
      </c>
      <c r="G184" s="10"/>
      <c r="H184" s="10" t="s">
        <v>404</v>
      </c>
      <c r="I184" s="11" t="n">
        <v>45658</v>
      </c>
      <c r="J184" s="11" t="n">
        <v>46022</v>
      </c>
      <c r="K184" s="12" t="s">
        <v>495</v>
      </c>
      <c r="L184" s="10"/>
      <c r="M184" s="10"/>
      <c r="N184" s="12" t="s">
        <v>406</v>
      </c>
      <c r="O184" s="13"/>
      <c r="P184" s="13"/>
      <c r="Q184" s="10" t="s">
        <v>120</v>
      </c>
      <c r="R184" s="12" t="s">
        <v>496</v>
      </c>
      <c r="S184" s="10" t="s">
        <v>497</v>
      </c>
      <c r="T184" s="10" t="s">
        <v>78</v>
      </c>
      <c r="U184" s="12" t="s">
        <v>635</v>
      </c>
      <c r="V184" s="10" t="n">
        <f aca="false">COUNTIF(Bridge_Trip_Site!$A$2:$A$2000,A184)</f>
        <v>1</v>
      </c>
      <c r="W184" s="16" t="n">
        <f aca="false">README!$B$15</f>
        <v>3600</v>
      </c>
      <c r="X184" s="14" t="str">
        <f aca="false">IF(AND(ISNUMBER(M184),ISNUMBER(W184)),M184*W184,"")</f>
        <v/>
      </c>
      <c r="Y184" s="10"/>
      <c r="Z184" s="12" t="s">
        <v>428</v>
      </c>
      <c r="AA184" s="12"/>
      <c r="AB184" s="12" t="s">
        <v>429</v>
      </c>
    </row>
    <row r="185" customFormat="false" ht="23.25" hidden="false" customHeight="true" outlineLevel="0" collapsed="false">
      <c r="A185" s="10" t="s">
        <v>636</v>
      </c>
      <c r="B185" s="10" t="s">
        <v>402</v>
      </c>
      <c r="C185" s="10" t="s">
        <v>403</v>
      </c>
      <c r="D185" s="10" t="n">
        <v>1</v>
      </c>
      <c r="E185" s="10" t="str">
        <f aca="false">INDEX(Dim_Department!$B$2:$B$5,MATCH(D185,Dim_Department!$A$2:$A$5,0))</f>
        <v>Nursing</v>
      </c>
      <c r="F185" s="10" t="s">
        <v>494</v>
      </c>
      <c r="G185" s="10"/>
      <c r="H185" s="10" t="s">
        <v>404</v>
      </c>
      <c r="I185" s="11" t="n">
        <v>45658</v>
      </c>
      <c r="J185" s="11" t="n">
        <v>46022</v>
      </c>
      <c r="K185" s="12" t="s">
        <v>495</v>
      </c>
      <c r="L185" s="10"/>
      <c r="M185" s="10"/>
      <c r="N185" s="12" t="s">
        <v>406</v>
      </c>
      <c r="O185" s="13"/>
      <c r="P185" s="13"/>
      <c r="Q185" s="10" t="s">
        <v>120</v>
      </c>
      <c r="R185" s="12" t="s">
        <v>496</v>
      </c>
      <c r="S185" s="10" t="n">
        <v>30</v>
      </c>
      <c r="T185" s="10" t="s">
        <v>78</v>
      </c>
      <c r="U185" s="12" t="s">
        <v>416</v>
      </c>
      <c r="V185" s="10" t="n">
        <f aca="false">COUNTIF(Bridge_Trip_Site!$A$2:$A$2000,A185)</f>
        <v>1</v>
      </c>
      <c r="W185" s="15" t="n">
        <v>850</v>
      </c>
      <c r="X185" s="14" t="str">
        <f aca="false">IF(AND(ISNUMBER(M185),ISNUMBER(W185)),M185*W185,"")</f>
        <v/>
      </c>
      <c r="Y185" s="10"/>
      <c r="Z185" s="12" t="s">
        <v>409</v>
      </c>
      <c r="AA185" s="12" t="s">
        <v>203</v>
      </c>
      <c r="AB185" s="12" t="s">
        <v>410</v>
      </c>
    </row>
    <row r="186" customFormat="false" ht="23.25" hidden="false" customHeight="true" outlineLevel="0" collapsed="false">
      <c r="A186" s="10" t="s">
        <v>637</v>
      </c>
      <c r="B186" s="10" t="s">
        <v>402</v>
      </c>
      <c r="C186" s="10" t="s">
        <v>403</v>
      </c>
      <c r="D186" s="10" t="n">
        <v>1</v>
      </c>
      <c r="E186" s="10" t="str">
        <f aca="false">INDEX(Dim_Department!$B$2:$B$5,MATCH(D186,Dim_Department!$A$2:$A$5,0))</f>
        <v>Nursing</v>
      </c>
      <c r="F186" s="10" t="s">
        <v>494</v>
      </c>
      <c r="G186" s="10"/>
      <c r="H186" s="10" t="s">
        <v>404</v>
      </c>
      <c r="I186" s="11" t="n">
        <v>45658</v>
      </c>
      <c r="J186" s="11" t="n">
        <v>46022</v>
      </c>
      <c r="K186" s="12" t="s">
        <v>495</v>
      </c>
      <c r="L186" s="10"/>
      <c r="M186" s="10"/>
      <c r="N186" s="12" t="s">
        <v>406</v>
      </c>
      <c r="O186" s="13"/>
      <c r="P186" s="13"/>
      <c r="Q186" s="10" t="s">
        <v>120</v>
      </c>
      <c r="R186" s="12" t="s">
        <v>496</v>
      </c>
      <c r="S186" s="10" t="s">
        <v>497</v>
      </c>
      <c r="T186" s="10" t="s">
        <v>78</v>
      </c>
      <c r="U186" s="12" t="s">
        <v>638</v>
      </c>
      <c r="V186" s="10" t="n">
        <f aca="false">COUNTIF(Bridge_Trip_Site!$A$2:$A$2000,A186)</f>
        <v>1</v>
      </c>
      <c r="W186" s="16" t="n">
        <f aca="false">README!$B$15</f>
        <v>3600</v>
      </c>
      <c r="X186" s="14" t="str">
        <f aca="false">IF(AND(ISNUMBER(M186),ISNUMBER(W186)),M186*W186,"")</f>
        <v/>
      </c>
      <c r="Y186" s="10"/>
      <c r="Z186" s="12" t="s">
        <v>428</v>
      </c>
      <c r="AA186" s="12"/>
      <c r="AB186" s="12" t="s">
        <v>429</v>
      </c>
    </row>
    <row r="187" customFormat="false" ht="23.25" hidden="false" customHeight="true" outlineLevel="0" collapsed="false">
      <c r="A187" s="10" t="s">
        <v>639</v>
      </c>
      <c r="B187" s="10" t="s">
        <v>402</v>
      </c>
      <c r="C187" s="10" t="s">
        <v>403</v>
      </c>
      <c r="D187" s="10" t="n">
        <v>1</v>
      </c>
      <c r="E187" s="10" t="str">
        <f aca="false">INDEX(Dim_Department!$B$2:$B$5,MATCH(D187,Dim_Department!$A$2:$A$5,0))</f>
        <v>Nursing</v>
      </c>
      <c r="F187" s="10" t="s">
        <v>494</v>
      </c>
      <c r="G187" s="10"/>
      <c r="H187" s="10" t="s">
        <v>404</v>
      </c>
      <c r="I187" s="11" t="n">
        <v>45658</v>
      </c>
      <c r="J187" s="11" t="n">
        <v>46022</v>
      </c>
      <c r="K187" s="12" t="s">
        <v>495</v>
      </c>
      <c r="L187" s="10"/>
      <c r="M187" s="10"/>
      <c r="N187" s="12" t="s">
        <v>406</v>
      </c>
      <c r="O187" s="13"/>
      <c r="P187" s="13"/>
      <c r="Q187" s="10" t="s">
        <v>120</v>
      </c>
      <c r="R187" s="12" t="s">
        <v>496</v>
      </c>
      <c r="S187" s="10" t="s">
        <v>497</v>
      </c>
      <c r="T187" s="10" t="s">
        <v>78</v>
      </c>
      <c r="U187" s="12" t="s">
        <v>640</v>
      </c>
      <c r="V187" s="10" t="n">
        <f aca="false">COUNTIF(Bridge_Trip_Site!$A$2:$A$2000,A187)</f>
        <v>1</v>
      </c>
      <c r="W187" s="15" t="n">
        <v>266.67</v>
      </c>
      <c r="X187" s="14" t="str">
        <f aca="false">IF(AND(ISNUMBER(M187),ISNUMBER(W187)),M187*W187,"")</f>
        <v/>
      </c>
      <c r="Y187" s="10"/>
      <c r="Z187" s="12" t="s">
        <v>413</v>
      </c>
      <c r="AA187" s="12" t="s">
        <v>105</v>
      </c>
      <c r="AB187" s="12" t="s">
        <v>607</v>
      </c>
    </row>
    <row r="188" customFormat="false" ht="23.25" hidden="false" customHeight="true" outlineLevel="0" collapsed="false">
      <c r="A188" s="10" t="s">
        <v>641</v>
      </c>
      <c r="B188" s="10" t="s">
        <v>402</v>
      </c>
      <c r="C188" s="10" t="s">
        <v>403</v>
      </c>
      <c r="D188" s="10" t="n">
        <v>1</v>
      </c>
      <c r="E188" s="10" t="str">
        <f aca="false">INDEX(Dim_Department!$B$2:$B$5,MATCH(D188,Dim_Department!$A$2:$A$5,0))</f>
        <v>Nursing</v>
      </c>
      <c r="F188" s="10" t="s">
        <v>494</v>
      </c>
      <c r="G188" s="10"/>
      <c r="H188" s="10" t="s">
        <v>404</v>
      </c>
      <c r="I188" s="11" t="n">
        <v>45658</v>
      </c>
      <c r="J188" s="11" t="n">
        <v>46022</v>
      </c>
      <c r="K188" s="12" t="s">
        <v>495</v>
      </c>
      <c r="L188" s="10"/>
      <c r="M188" s="10"/>
      <c r="N188" s="12" t="s">
        <v>406</v>
      </c>
      <c r="O188" s="13"/>
      <c r="P188" s="13"/>
      <c r="Q188" s="10" t="s">
        <v>120</v>
      </c>
      <c r="R188" s="12" t="s">
        <v>496</v>
      </c>
      <c r="S188" s="10" t="s">
        <v>497</v>
      </c>
      <c r="T188" s="10" t="s">
        <v>78</v>
      </c>
      <c r="U188" s="12" t="s">
        <v>642</v>
      </c>
      <c r="V188" s="10" t="n">
        <f aca="false">COUNTIF(Bridge_Trip_Site!$A$2:$A$2000,A188)</f>
        <v>1</v>
      </c>
      <c r="W188" s="15" t="n">
        <v>400</v>
      </c>
      <c r="X188" s="14" t="str">
        <f aca="false">IF(AND(ISNUMBER(M188),ISNUMBER(W188)),M188*W188,"")</f>
        <v/>
      </c>
      <c r="Y188" s="10"/>
      <c r="Z188" s="12" t="s">
        <v>413</v>
      </c>
      <c r="AA188" s="12" t="s">
        <v>276</v>
      </c>
      <c r="AB188" s="12" t="s">
        <v>554</v>
      </c>
    </row>
    <row r="189" customFormat="false" ht="23.25" hidden="false" customHeight="true" outlineLevel="0" collapsed="false">
      <c r="A189" s="10" t="s">
        <v>643</v>
      </c>
      <c r="B189" s="10" t="s">
        <v>402</v>
      </c>
      <c r="C189" s="10" t="s">
        <v>403</v>
      </c>
      <c r="D189" s="10" t="n">
        <v>1</v>
      </c>
      <c r="E189" s="10" t="str">
        <f aca="false">INDEX(Dim_Department!$B$2:$B$5,MATCH(D189,Dim_Department!$A$2:$A$5,0))</f>
        <v>Nursing</v>
      </c>
      <c r="F189" s="10" t="s">
        <v>494</v>
      </c>
      <c r="G189" s="10"/>
      <c r="H189" s="10" t="s">
        <v>404</v>
      </c>
      <c r="I189" s="11" t="n">
        <v>45658</v>
      </c>
      <c r="J189" s="11" t="n">
        <v>46022</v>
      </c>
      <c r="K189" s="12" t="s">
        <v>495</v>
      </c>
      <c r="L189" s="10"/>
      <c r="M189" s="10"/>
      <c r="N189" s="12" t="s">
        <v>406</v>
      </c>
      <c r="O189" s="13"/>
      <c r="P189" s="13"/>
      <c r="Q189" s="10" t="s">
        <v>120</v>
      </c>
      <c r="R189" s="12" t="s">
        <v>496</v>
      </c>
      <c r="S189" s="10" t="s">
        <v>497</v>
      </c>
      <c r="T189" s="10" t="s">
        <v>78</v>
      </c>
      <c r="U189" s="12" t="s">
        <v>644</v>
      </c>
      <c r="V189" s="10" t="n">
        <f aca="false">COUNTIF(Bridge_Trip_Site!$A$2:$A$2000,A189)</f>
        <v>1</v>
      </c>
      <c r="W189" s="16" t="n">
        <f aca="false">README!$B$15</f>
        <v>3600</v>
      </c>
      <c r="X189" s="14" t="str">
        <f aca="false">IF(AND(ISNUMBER(M189),ISNUMBER(W189)),M189*W189,"")</f>
        <v/>
      </c>
      <c r="Y189" s="10"/>
      <c r="Z189" s="12" t="s">
        <v>428</v>
      </c>
      <c r="AA189" s="12"/>
      <c r="AB189" s="12" t="s">
        <v>429</v>
      </c>
    </row>
    <row r="191" customFormat="false" ht="15" hidden="false" customHeight="true" outlineLevel="0" collapsed="false">
      <c r="A191" s="17" t="s">
        <v>645</v>
      </c>
      <c r="M191" s="17" t="n">
        <f aca="false">SUMIFS(M2:M189,B2:B189,"AY2024")</f>
        <v>1216</v>
      </c>
      <c r="X191" s="18" t="n">
        <f aca="false">SUMIFS(X2:X189,B2:B189,"AY2024")</f>
        <v>1620700</v>
      </c>
    </row>
  </sheetData>
  <autoFilter ref="A1:AB18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9"/>
    <col collapsed="false" customWidth="true" hidden="false" outlineLevel="0" max="3" min="3" style="1" width="46"/>
  </cols>
  <sheetData>
    <row r="1" customFormat="false" ht="15" hidden="false" customHeight="true" outlineLevel="0" collapsed="false">
      <c r="A1" s="9" t="s">
        <v>25</v>
      </c>
      <c r="B1" s="9" t="s">
        <v>646</v>
      </c>
      <c r="C1" s="9" t="s">
        <v>647</v>
      </c>
    </row>
    <row r="2" customFormat="false" ht="15" hidden="false" customHeight="true" outlineLevel="0" collapsed="false">
      <c r="A2" s="10" t="s">
        <v>53</v>
      </c>
      <c r="B2" s="10" t="s">
        <v>648</v>
      </c>
      <c r="C2" s="10" t="str">
        <f aca="false">INDEX(Dim_Site!$B$2:$B$106,MATCH(B2,Dim_Site!$A$2:$A$106,0))</f>
        <v>Worcester Hospital</v>
      </c>
    </row>
    <row r="3" customFormat="false" ht="15" hidden="false" customHeight="true" outlineLevel="0" collapsed="false">
      <c r="A3" s="10" t="s">
        <v>66</v>
      </c>
      <c r="B3" s="10" t="s">
        <v>648</v>
      </c>
      <c r="C3" s="10" t="str">
        <f aca="false">INDEX(Dim_Site!$B$2:$B$106,MATCH(B3,Dim_Site!$A$2:$A$106,0))</f>
        <v>Worcester Hospital</v>
      </c>
    </row>
    <row r="4" customFormat="false" ht="15" hidden="false" customHeight="true" outlineLevel="0" collapsed="false">
      <c r="A4" s="10" t="s">
        <v>71</v>
      </c>
      <c r="B4" s="10" t="s">
        <v>649</v>
      </c>
      <c r="C4" s="10" t="str">
        <f aca="false">INDEX(Dim_Site!$B$2:$B$106,MATCH(B4,Dim_Site!$A$2:$A$106,0))</f>
        <v>Tygerberg Hospital</v>
      </c>
    </row>
    <row r="5" customFormat="false" ht="15" hidden="false" customHeight="true" outlineLevel="0" collapsed="false">
      <c r="A5" s="10" t="s">
        <v>71</v>
      </c>
      <c r="B5" s="10" t="s">
        <v>650</v>
      </c>
      <c r="C5" s="10" t="str">
        <f aca="false">INDEX(Dim_Site!$B$2:$B$106,MATCH(B5,Dim_Site!$A$2:$A$106,0))</f>
        <v>Karl Bremer Hospital</v>
      </c>
    </row>
    <row r="6" customFormat="false" ht="15" hidden="false" customHeight="true" outlineLevel="0" collapsed="false">
      <c r="A6" s="10" t="s">
        <v>80</v>
      </c>
      <c r="B6" s="10" t="s">
        <v>651</v>
      </c>
      <c r="C6" s="10" t="str">
        <f aca="false">INDEX(Dim_Site!$B$2:$B$106,MATCH(B6,Dim_Site!$A$2:$A$106,0))</f>
        <v>New Somerset Hospital</v>
      </c>
    </row>
    <row r="7" customFormat="false" ht="15" hidden="false" customHeight="true" outlineLevel="0" collapsed="false">
      <c r="A7" s="10" t="s">
        <v>85</v>
      </c>
      <c r="B7" s="10" t="s">
        <v>652</v>
      </c>
      <c r="C7" s="10" t="str">
        <f aca="false">INDEX(Dim_Site!$B$2:$B$106,MATCH(B7,Dim_Site!$A$2:$A$106,0))</f>
        <v>Mitchells Plain (facility not stated)</v>
      </c>
    </row>
    <row r="8" customFormat="false" ht="15" hidden="false" customHeight="true" outlineLevel="0" collapsed="false">
      <c r="A8" s="10" t="s">
        <v>85</v>
      </c>
      <c r="B8" s="10" t="s">
        <v>653</v>
      </c>
      <c r="C8" s="10" t="str">
        <f aca="false">INDEX(Dim_Site!$B$2:$B$106,MATCH(B8,Dim_Site!$A$2:$A$106,0))</f>
        <v>Michael Mapongwana CDC</v>
      </c>
    </row>
    <row r="9" customFormat="false" ht="15" hidden="false" customHeight="true" outlineLevel="0" collapsed="false">
      <c r="A9" s="10" t="s">
        <v>85</v>
      </c>
      <c r="B9" s="10" t="s">
        <v>654</v>
      </c>
      <c r="C9" s="10" t="str">
        <f aca="false">INDEX(Dim_Site!$B$2:$B$106,MATCH(B9,Dim_Site!$A$2:$A$106,0))</f>
        <v>Site B, Khayelitsha CDC</v>
      </c>
    </row>
    <row r="10" customFormat="false" ht="15" hidden="false" customHeight="true" outlineLevel="0" collapsed="false">
      <c r="A10" s="10" t="s">
        <v>85</v>
      </c>
      <c r="B10" s="10" t="s">
        <v>655</v>
      </c>
      <c r="C10" s="10" t="str">
        <f aca="false">INDEX(Dim_Site!$B$2:$B$106,MATCH(B10,Dim_Site!$A$2:$A$106,0))</f>
        <v>Kuyasa Clinic (Khayelitsha)</v>
      </c>
    </row>
    <row r="11" customFormat="false" ht="15" hidden="false" customHeight="true" outlineLevel="0" collapsed="false">
      <c r="A11" s="10" t="s">
        <v>85</v>
      </c>
      <c r="B11" s="10" t="s">
        <v>656</v>
      </c>
      <c r="C11" s="10" t="str">
        <f aca="false">INDEX(Dim_Site!$B$2:$B$106,MATCH(B11,Dim_Site!$A$2:$A$106,0))</f>
        <v>Nolungile CDC</v>
      </c>
    </row>
    <row r="12" customFormat="false" ht="15" hidden="false" customHeight="true" outlineLevel="0" collapsed="false">
      <c r="A12" s="10" t="s">
        <v>85</v>
      </c>
      <c r="B12" s="10" t="s">
        <v>657</v>
      </c>
      <c r="C12" s="10" t="str">
        <f aca="false">INDEX(Dim_Site!$B$2:$B$106,MATCH(B12,Dim_Site!$A$2:$A$106,0))</f>
        <v>Rocklands Clinic</v>
      </c>
    </row>
    <row r="13" customFormat="false" ht="15" hidden="false" customHeight="true" outlineLevel="0" collapsed="false">
      <c r="A13" s="10" t="s">
        <v>85</v>
      </c>
      <c r="B13" s="10" t="s">
        <v>658</v>
      </c>
      <c r="C13" s="10" t="str">
        <f aca="false">INDEX(Dim_Site!$B$2:$B$106,MATCH(B13,Dim_Site!$A$2:$A$106,0))</f>
        <v>Lentegeur Clinic</v>
      </c>
    </row>
    <row r="14" customFormat="false" ht="15" hidden="false" customHeight="true" outlineLevel="0" collapsed="false">
      <c r="A14" s="10" t="s">
        <v>89</v>
      </c>
      <c r="B14" s="10" t="s">
        <v>659</v>
      </c>
      <c r="C14" s="10" t="str">
        <f aca="false">INDEX(Dim_Site!$B$2:$B$106,MATCH(B14,Dim_Site!$A$2:$A$106,0))</f>
        <v>Lotus River (facility not stated)</v>
      </c>
    </row>
    <row r="15" customFormat="false" ht="15" hidden="false" customHeight="true" outlineLevel="0" collapsed="false">
      <c r="A15" s="10" t="s">
        <v>89</v>
      </c>
      <c r="B15" s="10" t="s">
        <v>660</v>
      </c>
      <c r="C15" s="10" t="str">
        <f aca="false">INDEX(Dim_Site!$B$2:$B$106,MATCH(B15,Dim_Site!$A$2:$A$106,0))</f>
        <v>Retreat CHC</v>
      </c>
    </row>
    <row r="16" customFormat="false" ht="15" hidden="false" customHeight="true" outlineLevel="0" collapsed="false">
      <c r="A16" s="10" t="s">
        <v>89</v>
      </c>
      <c r="B16" s="10" t="s">
        <v>661</v>
      </c>
      <c r="C16" s="10" t="str">
        <f aca="false">INDEX(Dim_Site!$B$2:$B$106,MATCH(B16,Dim_Site!$A$2:$A$106,0))</f>
        <v>Lady Michaelis CDC</v>
      </c>
    </row>
    <row r="17" customFormat="false" ht="15" hidden="false" customHeight="true" outlineLevel="0" collapsed="false">
      <c r="A17" s="10" t="s">
        <v>89</v>
      </c>
      <c r="B17" s="10" t="s">
        <v>662</v>
      </c>
      <c r="C17" s="10" t="str">
        <f aca="false">INDEX(Dim_Site!$B$2:$B$106,MATCH(B17,Dim_Site!$A$2:$A$106,0))</f>
        <v>District 6 Clinic</v>
      </c>
    </row>
    <row r="18" customFormat="false" ht="15" hidden="false" customHeight="true" outlineLevel="0" collapsed="false">
      <c r="A18" s="10" t="s">
        <v>93</v>
      </c>
      <c r="B18" s="10" t="s">
        <v>663</v>
      </c>
      <c r="C18" s="10" t="str">
        <f aca="false">INDEX(Dim_Site!$B$2:$B$106,MATCH(B18,Dim_Site!$A$2:$A$106,0))</f>
        <v>Vanguard CHC</v>
      </c>
    </row>
    <row r="19" customFormat="false" ht="15" hidden="false" customHeight="true" outlineLevel="0" collapsed="false">
      <c r="A19" s="10" t="s">
        <v>93</v>
      </c>
      <c r="B19" s="10" t="s">
        <v>664</v>
      </c>
      <c r="C19" s="10" t="str">
        <f aca="false">INDEX(Dim_Site!$B$2:$B$106,MATCH(B19,Dim_Site!$A$2:$A$106,0))</f>
        <v>Langa CDC</v>
      </c>
    </row>
    <row r="20" customFormat="false" ht="15" hidden="false" customHeight="true" outlineLevel="0" collapsed="false">
      <c r="A20" s="10" t="s">
        <v>93</v>
      </c>
      <c r="B20" s="10" t="s">
        <v>665</v>
      </c>
      <c r="C20" s="10" t="str">
        <f aca="false">INDEX(Dim_Site!$B$2:$B$106,MATCH(B20,Dim_Site!$A$2:$A$106,0))</f>
        <v>Landsdowne Clinic</v>
      </c>
    </row>
    <row r="21" customFormat="false" ht="15" hidden="false" customHeight="true" outlineLevel="0" collapsed="false">
      <c r="A21" s="10" t="s">
        <v>93</v>
      </c>
      <c r="B21" s="10" t="s">
        <v>666</v>
      </c>
      <c r="C21" s="10" t="str">
        <f aca="false">INDEX(Dim_Site!$B$2:$B$106,MATCH(B21,Dim_Site!$A$2:$A$106,0))</f>
        <v>Nyanga (facility not stated)</v>
      </c>
    </row>
    <row r="22" customFormat="false" ht="15" hidden="false" customHeight="true" outlineLevel="0" collapsed="false">
      <c r="A22" s="10" t="s">
        <v>93</v>
      </c>
      <c r="B22" s="10" t="s">
        <v>667</v>
      </c>
      <c r="C22" s="10" t="str">
        <f aca="false">INDEX(Dim_Site!$B$2:$B$106,MATCH(B22,Dim_Site!$A$2:$A$106,0))</f>
        <v>Gugulethu (facility not stated)</v>
      </c>
    </row>
    <row r="23" customFormat="false" ht="15" hidden="false" customHeight="true" outlineLevel="0" collapsed="false">
      <c r="A23" s="10" t="s">
        <v>97</v>
      </c>
      <c r="B23" s="10" t="s">
        <v>668</v>
      </c>
      <c r="C23" s="10" t="str">
        <f aca="false">INDEX(Dim_Site!$B$2:$B$106,MATCH(B23,Dim_Site!$A$2:$A$106,0))</f>
        <v>Reed Street CDC</v>
      </c>
    </row>
    <row r="24" customFormat="false" ht="15" hidden="false" customHeight="true" outlineLevel="0" collapsed="false">
      <c r="A24" s="10" t="s">
        <v>97</v>
      </c>
      <c r="B24" s="10" t="s">
        <v>669</v>
      </c>
      <c r="C24" s="10" t="str">
        <f aca="false">INDEX(Dim_Site!$B$2:$B$106,MATCH(B24,Dim_Site!$A$2:$A$106,0))</f>
        <v>Parow CDC</v>
      </c>
    </row>
    <row r="25" customFormat="false" ht="15" hidden="false" customHeight="true" outlineLevel="0" collapsed="false">
      <c r="A25" s="10" t="s">
        <v>97</v>
      </c>
      <c r="B25" s="10" t="s">
        <v>670</v>
      </c>
      <c r="C25" s="10" t="str">
        <f aca="false">INDEX(Dim_Site!$B$2:$B$106,MATCH(B25,Dim_Site!$A$2:$A$106,0))</f>
        <v>Dirkie Uys (Goodwood) CDC</v>
      </c>
    </row>
    <row r="26" customFormat="false" ht="15" hidden="false" customHeight="true" outlineLevel="0" collapsed="false">
      <c r="A26" s="10" t="s">
        <v>97</v>
      </c>
      <c r="B26" s="10" t="s">
        <v>671</v>
      </c>
      <c r="C26" s="10" t="str">
        <f aca="false">INDEX(Dim_Site!$B$2:$B$106,MATCH(B26,Dim_Site!$A$2:$A$106,0))</f>
        <v>Ruyterwacht CDC</v>
      </c>
    </row>
    <row r="27" customFormat="false" ht="15" hidden="false" customHeight="true" outlineLevel="0" collapsed="false">
      <c r="A27" s="10" t="s">
        <v>97</v>
      </c>
      <c r="B27" s="10" t="s">
        <v>672</v>
      </c>
      <c r="C27" s="10" t="str">
        <f aca="false">INDEX(Dim_Site!$B$2:$B$106,MATCH(B27,Dim_Site!$A$2:$A$106,0))</f>
        <v>Ravensmead CDC</v>
      </c>
    </row>
    <row r="28" customFormat="false" ht="15" hidden="false" customHeight="true" outlineLevel="0" collapsed="false">
      <c r="A28" s="10" t="s">
        <v>100</v>
      </c>
      <c r="B28" s="10" t="s">
        <v>673</v>
      </c>
      <c r="C28" s="10" t="str">
        <f aca="false">INDEX(Dim_Site!$B$2:$B$106,MATCH(B28,Dim_Site!$A$2:$A$106,0))</f>
        <v>St Vincent CDC</v>
      </c>
    </row>
    <row r="29" customFormat="false" ht="15" hidden="false" customHeight="true" outlineLevel="0" collapsed="false">
      <c r="A29" s="10" t="s">
        <v>100</v>
      </c>
      <c r="B29" s="10" t="s">
        <v>674</v>
      </c>
      <c r="C29" s="10" t="str">
        <f aca="false">INDEX(Dim_Site!$B$2:$B$106,MATCH(B29,Dim_Site!$A$2:$A$106,0))</f>
        <v>Symphony Way CDC</v>
      </c>
    </row>
    <row r="30" customFormat="false" ht="15" hidden="false" customHeight="true" outlineLevel="0" collapsed="false">
      <c r="A30" s="10" t="s">
        <v>100</v>
      </c>
      <c r="B30" s="10" t="s">
        <v>675</v>
      </c>
      <c r="C30" s="10" t="str">
        <f aca="false">INDEX(Dim_Site!$B$2:$B$106,MATCH(B30,Dim_Site!$A$2:$A$106,0))</f>
        <v>Kasselsvlei (Bellville South) CDC</v>
      </c>
    </row>
    <row r="31" customFormat="false" ht="15" hidden="false" customHeight="true" outlineLevel="0" collapsed="false">
      <c r="A31" s="10" t="s">
        <v>100</v>
      </c>
      <c r="B31" s="10" t="s">
        <v>676</v>
      </c>
      <c r="C31" s="10" t="str">
        <f aca="false">INDEX(Dim_Site!$B$2:$B$106,MATCH(B31,Dim_Site!$A$2:$A$106,0))</f>
        <v>Scottsdene CDC</v>
      </c>
    </row>
    <row r="32" customFormat="false" ht="15" hidden="false" customHeight="true" outlineLevel="0" collapsed="false">
      <c r="A32" s="10" t="s">
        <v>102</v>
      </c>
      <c r="B32" s="10" t="s">
        <v>677</v>
      </c>
      <c r="C32" s="10" t="str">
        <f aca="false">INDEX(Dim_Site!$B$2:$B$106,MATCH(B32,Dim_Site!$A$2:$A$106,0))</f>
        <v>Strand CDC</v>
      </c>
    </row>
    <row r="33" customFormat="false" ht="15" hidden="false" customHeight="true" outlineLevel="0" collapsed="false">
      <c r="A33" s="10" t="s">
        <v>102</v>
      </c>
      <c r="B33" s="10" t="s">
        <v>678</v>
      </c>
      <c r="C33" s="10" t="str">
        <f aca="false">INDEX(Dim_Site!$B$2:$B$106,MATCH(B33,Dim_Site!$A$2:$A$106,0))</f>
        <v>Macassar CHC</v>
      </c>
    </row>
    <row r="34" customFormat="false" ht="15" hidden="false" customHeight="true" outlineLevel="0" collapsed="false">
      <c r="A34" s="10" t="s">
        <v>102</v>
      </c>
      <c r="B34" s="10" t="s">
        <v>679</v>
      </c>
      <c r="C34" s="10" t="str">
        <f aca="false">INDEX(Dim_Site!$B$2:$B$106,MATCH(B34,Dim_Site!$A$2:$A$106,0))</f>
        <v>Gustrow (facility not stated)</v>
      </c>
    </row>
    <row r="35" customFormat="false" ht="15" hidden="false" customHeight="true" outlineLevel="0" collapsed="false">
      <c r="A35" s="10" t="s">
        <v>105</v>
      </c>
      <c r="B35" s="10" t="s">
        <v>660</v>
      </c>
      <c r="C35" s="10" t="str">
        <f aca="false">INDEX(Dim_Site!$B$2:$B$106,MATCH(B35,Dim_Site!$A$2:$A$106,0))</f>
        <v>Retreat CHC</v>
      </c>
    </row>
    <row r="36" customFormat="false" ht="15" hidden="false" customHeight="true" outlineLevel="0" collapsed="false">
      <c r="A36" s="10" t="s">
        <v>105</v>
      </c>
      <c r="B36" s="10" t="s">
        <v>667</v>
      </c>
      <c r="C36" s="10" t="str">
        <f aca="false">INDEX(Dim_Site!$B$2:$B$106,MATCH(B36,Dim_Site!$A$2:$A$106,0))</f>
        <v>Gugulethu (facility not stated)</v>
      </c>
    </row>
    <row r="37" customFormat="false" ht="15" hidden="false" customHeight="true" outlineLevel="0" collapsed="false">
      <c r="A37" s="10" t="s">
        <v>105</v>
      </c>
      <c r="B37" s="10" t="s">
        <v>663</v>
      </c>
      <c r="C37" s="10" t="str">
        <f aca="false">INDEX(Dim_Site!$B$2:$B$106,MATCH(B37,Dim_Site!$A$2:$A$106,0))</f>
        <v>Vanguard CHC</v>
      </c>
    </row>
    <row r="38" customFormat="false" ht="15" hidden="false" customHeight="true" outlineLevel="0" collapsed="false">
      <c r="A38" s="10" t="s">
        <v>113</v>
      </c>
      <c r="B38" s="10" t="s">
        <v>678</v>
      </c>
      <c r="C38" s="10" t="str">
        <f aca="false">INDEX(Dim_Site!$B$2:$B$106,MATCH(B38,Dim_Site!$A$2:$A$106,0))</f>
        <v>Macassar CHC</v>
      </c>
    </row>
    <row r="39" customFormat="false" ht="15" hidden="false" customHeight="true" outlineLevel="0" collapsed="false">
      <c r="A39" s="10" t="s">
        <v>113</v>
      </c>
      <c r="B39" s="10" t="s">
        <v>653</v>
      </c>
      <c r="C39" s="10" t="str">
        <f aca="false">INDEX(Dim_Site!$B$2:$B$106,MATCH(B39,Dim_Site!$A$2:$A$106,0))</f>
        <v>Michael Mapongwana CDC</v>
      </c>
    </row>
    <row r="40" customFormat="false" ht="15" hidden="false" customHeight="true" outlineLevel="0" collapsed="false">
      <c r="A40" s="10" t="s">
        <v>113</v>
      </c>
      <c r="B40" s="10" t="s">
        <v>654</v>
      </c>
      <c r="C40" s="10" t="str">
        <f aca="false">INDEX(Dim_Site!$B$2:$B$106,MATCH(B40,Dim_Site!$A$2:$A$106,0))</f>
        <v>Site B, Khayelitsha CDC</v>
      </c>
    </row>
    <row r="41" customFormat="false" ht="15" hidden="false" customHeight="true" outlineLevel="0" collapsed="false">
      <c r="A41" s="10" t="s">
        <v>113</v>
      </c>
      <c r="B41" s="10" t="s">
        <v>652</v>
      </c>
      <c r="C41" s="10" t="str">
        <f aca="false">INDEX(Dim_Site!$B$2:$B$106,MATCH(B41,Dim_Site!$A$2:$A$106,0))</f>
        <v>Mitchells Plain (facility not stated)</v>
      </c>
    </row>
    <row r="42" customFormat="false" ht="15" hidden="false" customHeight="true" outlineLevel="0" collapsed="false">
      <c r="A42" s="10" t="s">
        <v>115</v>
      </c>
      <c r="B42" s="10" t="s">
        <v>680</v>
      </c>
      <c r="C42" s="10" t="str">
        <f aca="false">INDEX(Dim_Site!$B$2:$B$106,MATCH(B42,Dim_Site!$A$2:$A$106,0))</f>
        <v>Eerste River Hospital</v>
      </c>
    </row>
    <row r="43" customFormat="false" ht="15" hidden="false" customHeight="true" outlineLevel="0" collapsed="false">
      <c r="A43" s="10" t="s">
        <v>123</v>
      </c>
      <c r="B43" s="10" t="s">
        <v>681</v>
      </c>
      <c r="C43" s="10" t="str">
        <f aca="false">INDEX(Dim_Site!$B$2:$B$106,MATCH(B43,Dim_Site!$A$2:$A$106,0))</f>
        <v>Khayelitsha District Hospital</v>
      </c>
    </row>
    <row r="44" customFormat="false" ht="15" hidden="false" customHeight="true" outlineLevel="0" collapsed="false">
      <c r="A44" s="10" t="s">
        <v>127</v>
      </c>
      <c r="B44" s="10" t="s">
        <v>682</v>
      </c>
      <c r="C44" s="10" t="str">
        <f aca="false">INDEX(Dim_Site!$B$2:$B$106,MATCH(B44,Dim_Site!$A$2:$A$106,0))</f>
        <v>Groote Schuur Hospital</v>
      </c>
    </row>
    <row r="45" customFormat="false" ht="15" hidden="false" customHeight="true" outlineLevel="0" collapsed="false">
      <c r="A45" s="10" t="s">
        <v>131</v>
      </c>
      <c r="B45" s="10" t="s">
        <v>649</v>
      </c>
      <c r="C45" s="10" t="str">
        <f aca="false">INDEX(Dim_Site!$B$2:$B$106,MATCH(B45,Dim_Site!$A$2:$A$106,0))</f>
        <v>Tygerberg Hospital</v>
      </c>
    </row>
    <row r="46" customFormat="false" ht="15" hidden="false" customHeight="true" outlineLevel="0" collapsed="false">
      <c r="A46" s="10" t="s">
        <v>131</v>
      </c>
      <c r="B46" s="10" t="s">
        <v>650</v>
      </c>
      <c r="C46" s="10" t="str">
        <f aca="false">INDEX(Dim_Site!$B$2:$B$106,MATCH(B46,Dim_Site!$A$2:$A$106,0))</f>
        <v>Karl Bremer Hospital</v>
      </c>
    </row>
    <row r="47" customFormat="false" ht="15" hidden="false" customHeight="true" outlineLevel="0" collapsed="false">
      <c r="A47" s="10" t="s">
        <v>135</v>
      </c>
      <c r="B47" s="10" t="s">
        <v>683</v>
      </c>
      <c r="C47" s="10" t="str">
        <f aca="false">INDEX(Dim_Site!$B$2:$B$106,MATCH(B47,Dim_Site!$A$2:$A$106,0))</f>
        <v>Mitchells Plain District Hospital</v>
      </c>
    </row>
    <row r="48" customFormat="false" ht="15" hidden="false" customHeight="true" outlineLevel="0" collapsed="false">
      <c r="A48" s="10" t="s">
        <v>140</v>
      </c>
      <c r="B48" s="10" t="s">
        <v>684</v>
      </c>
      <c r="C48" s="10" t="str">
        <f aca="false">INDEX(Dim_Site!$B$2:$B$106,MATCH(B48,Dim_Site!$A$2:$A$106,0))</f>
        <v>Pinelands Western EMS</v>
      </c>
    </row>
    <row r="49" customFormat="false" ht="15" hidden="false" customHeight="true" outlineLevel="0" collapsed="false">
      <c r="A49" s="10" t="s">
        <v>143</v>
      </c>
      <c r="B49" s="10" t="s">
        <v>685</v>
      </c>
      <c r="C49" s="10" t="str">
        <f aca="false">INDEX(Dim_Site!$B$2:$B$106,MATCH(B49,Dim_Site!$A$2:$A$106,0))</f>
        <v>Gugulethu Hospital</v>
      </c>
    </row>
    <row r="50" customFormat="false" ht="15" hidden="false" customHeight="true" outlineLevel="0" collapsed="false">
      <c r="A50" s="10" t="s">
        <v>147</v>
      </c>
      <c r="B50" s="10" t="s">
        <v>682</v>
      </c>
      <c r="C50" s="10" t="str">
        <f aca="false">INDEX(Dim_Site!$B$2:$B$106,MATCH(B50,Dim_Site!$A$2:$A$106,0))</f>
        <v>Groote Schuur Hospital</v>
      </c>
    </row>
    <row r="51" customFormat="false" ht="15" hidden="false" customHeight="true" outlineLevel="0" collapsed="false">
      <c r="A51" s="10" t="s">
        <v>153</v>
      </c>
      <c r="B51" s="10" t="s">
        <v>682</v>
      </c>
      <c r="C51" s="10" t="str">
        <f aca="false">INDEX(Dim_Site!$B$2:$B$106,MATCH(B51,Dim_Site!$A$2:$A$106,0))</f>
        <v>Groote Schuur Hospital</v>
      </c>
    </row>
    <row r="52" customFormat="false" ht="15" hidden="false" customHeight="true" outlineLevel="0" collapsed="false">
      <c r="A52" s="10" t="s">
        <v>158</v>
      </c>
      <c r="B52" s="10" t="s">
        <v>651</v>
      </c>
      <c r="C52" s="10" t="str">
        <f aca="false">INDEX(Dim_Site!$B$2:$B$106,MATCH(B52,Dim_Site!$A$2:$A$106,0))</f>
        <v>New Somerset Hospital</v>
      </c>
    </row>
    <row r="53" customFormat="false" ht="15" hidden="false" customHeight="true" outlineLevel="0" collapsed="false">
      <c r="A53" s="10" t="s">
        <v>158</v>
      </c>
      <c r="B53" s="10" t="s">
        <v>686</v>
      </c>
      <c r="C53" s="10" t="str">
        <f aca="false">INDEX(Dim_Site!$B$2:$B$106,MATCH(B53,Dim_Site!$A$2:$A$106,0))</f>
        <v>Mowbray Maternity Hospital</v>
      </c>
    </row>
    <row r="54" customFormat="false" ht="15" hidden="false" customHeight="true" outlineLevel="0" collapsed="false">
      <c r="A54" s="10" t="s">
        <v>158</v>
      </c>
      <c r="B54" s="10" t="s">
        <v>687</v>
      </c>
      <c r="C54" s="10" t="str">
        <f aca="false">INDEX(Dim_Site!$B$2:$B$106,MATCH(B54,Dim_Site!$A$2:$A$106,0))</f>
        <v>Red Cross War Memorial Children's Hospital</v>
      </c>
    </row>
    <row r="55" customFormat="false" ht="15" hidden="false" customHeight="true" outlineLevel="0" collapsed="false">
      <c r="A55" s="10" t="s">
        <v>162</v>
      </c>
      <c r="B55" s="10" t="s">
        <v>651</v>
      </c>
      <c r="C55" s="10" t="str">
        <f aca="false">INDEX(Dim_Site!$B$2:$B$106,MATCH(B55,Dim_Site!$A$2:$A$106,0))</f>
        <v>New Somerset Hospital</v>
      </c>
    </row>
    <row r="56" customFormat="false" ht="15" hidden="false" customHeight="true" outlineLevel="0" collapsed="false">
      <c r="A56" s="10" t="s">
        <v>166</v>
      </c>
      <c r="B56" s="10" t="s">
        <v>681</v>
      </c>
      <c r="C56" s="10" t="str">
        <f aca="false">INDEX(Dim_Site!$B$2:$B$106,MATCH(B56,Dim_Site!$A$2:$A$106,0))</f>
        <v>Khayelitsha District Hospital</v>
      </c>
    </row>
    <row r="57" customFormat="false" ht="15" hidden="false" customHeight="true" outlineLevel="0" collapsed="false">
      <c r="A57" s="10" t="s">
        <v>169</v>
      </c>
      <c r="B57" s="10" t="s">
        <v>688</v>
      </c>
      <c r="C57" s="10" t="str">
        <f aca="false">INDEX(Dim_Site!$B$2:$B$106,MATCH(B57,Dim_Site!$A$2:$A$106,0))</f>
        <v>Kraaifontein CHC</v>
      </c>
    </row>
    <row r="58" customFormat="false" ht="15" hidden="false" customHeight="true" outlineLevel="0" collapsed="false">
      <c r="A58" s="10" t="s">
        <v>172</v>
      </c>
      <c r="B58" s="10" t="s">
        <v>650</v>
      </c>
      <c r="C58" s="10" t="str">
        <f aca="false">INDEX(Dim_Site!$B$2:$B$106,MATCH(B58,Dim_Site!$A$2:$A$106,0))</f>
        <v>Karl Bremer Hospital</v>
      </c>
    </row>
    <row r="59" customFormat="false" ht="15" hidden="false" customHeight="true" outlineLevel="0" collapsed="false">
      <c r="A59" s="10" t="s">
        <v>176</v>
      </c>
      <c r="B59" s="10" t="s">
        <v>649</v>
      </c>
      <c r="C59" s="10" t="str">
        <f aca="false">INDEX(Dim_Site!$B$2:$B$106,MATCH(B59,Dim_Site!$A$2:$A$106,0))</f>
        <v>Tygerberg Hospital</v>
      </c>
    </row>
    <row r="60" customFormat="false" ht="15" hidden="false" customHeight="true" outlineLevel="0" collapsed="false">
      <c r="A60" s="10" t="s">
        <v>179</v>
      </c>
      <c r="B60" s="10" t="s">
        <v>649</v>
      </c>
      <c r="C60" s="10" t="str">
        <f aca="false">INDEX(Dim_Site!$B$2:$B$106,MATCH(B60,Dim_Site!$A$2:$A$106,0))</f>
        <v>Tygerberg Hospital</v>
      </c>
    </row>
    <row r="61" customFormat="false" ht="15" hidden="false" customHeight="true" outlineLevel="0" collapsed="false">
      <c r="A61" s="10" t="s">
        <v>183</v>
      </c>
      <c r="B61" s="10" t="s">
        <v>686</v>
      </c>
      <c r="C61" s="10" t="str">
        <f aca="false">INDEX(Dim_Site!$B$2:$B$106,MATCH(B61,Dim_Site!$A$2:$A$106,0))</f>
        <v>Mowbray Maternity Hospital</v>
      </c>
    </row>
    <row r="62" customFormat="false" ht="15" hidden="false" customHeight="true" outlineLevel="0" collapsed="false">
      <c r="A62" s="10" t="s">
        <v>183</v>
      </c>
      <c r="B62" s="10" t="s">
        <v>687</v>
      </c>
      <c r="C62" s="10" t="str">
        <f aca="false">INDEX(Dim_Site!$B$2:$B$106,MATCH(B62,Dim_Site!$A$2:$A$106,0))</f>
        <v>Red Cross War Memorial Children's Hospital</v>
      </c>
    </row>
    <row r="63" customFormat="false" ht="15" hidden="false" customHeight="true" outlineLevel="0" collapsed="false">
      <c r="A63" s="10" t="s">
        <v>186</v>
      </c>
      <c r="B63" s="10" t="s">
        <v>649</v>
      </c>
      <c r="C63" s="10" t="str">
        <f aca="false">INDEX(Dim_Site!$B$2:$B$106,MATCH(B63,Dim_Site!$A$2:$A$106,0))</f>
        <v>Tygerberg Hospital</v>
      </c>
    </row>
    <row r="64" customFormat="false" ht="15" hidden="false" customHeight="true" outlineLevel="0" collapsed="false">
      <c r="A64" s="10" t="s">
        <v>188</v>
      </c>
      <c r="B64" s="10" t="s">
        <v>689</v>
      </c>
      <c r="C64" s="10" t="str">
        <f aca="false">INDEX(Dim_Site!$B$2:$B$106,MATCH(B64,Dim_Site!$A$2:$A$106,0))</f>
        <v>Pinelands Place CPOA</v>
      </c>
    </row>
    <row r="65" customFormat="false" ht="15" hidden="false" customHeight="true" outlineLevel="0" collapsed="false">
      <c r="A65" s="10" t="s">
        <v>188</v>
      </c>
      <c r="B65" s="10" t="s">
        <v>690</v>
      </c>
      <c r="C65" s="10" t="str">
        <f aca="false">INDEX(Dim_Site!$B$2:$B$106,MATCH(B65,Dim_Site!$A$2:$A$106,0))</f>
        <v>Manor Care CPOA</v>
      </c>
    </row>
    <row r="66" customFormat="false" ht="15" hidden="false" customHeight="true" outlineLevel="0" collapsed="false">
      <c r="A66" s="10" t="s">
        <v>188</v>
      </c>
      <c r="B66" s="10" t="s">
        <v>691</v>
      </c>
      <c r="C66" s="10" t="str">
        <f aca="false">INDEX(Dim_Site!$B$2:$B$106,MATCH(B66,Dim_Site!$A$2:$A$106,0))</f>
        <v>Sea Point CPOA</v>
      </c>
    </row>
    <row r="67" customFormat="false" ht="15" hidden="false" customHeight="true" outlineLevel="0" collapsed="false">
      <c r="A67" s="10" t="s">
        <v>193</v>
      </c>
      <c r="B67" s="10" t="s">
        <v>692</v>
      </c>
      <c r="C67" s="10" t="str">
        <f aca="false">INDEX(Dim_Site!$B$2:$B$106,MATCH(B67,Dim_Site!$A$2:$A$106,0))</f>
        <v>Fairmead CPOA</v>
      </c>
    </row>
    <row r="68" customFormat="false" ht="15" hidden="false" customHeight="true" outlineLevel="0" collapsed="false">
      <c r="A68" s="10" t="s">
        <v>193</v>
      </c>
      <c r="B68" s="10" t="s">
        <v>693</v>
      </c>
      <c r="C68" s="10" t="str">
        <f aca="false">INDEX(Dim_Site!$B$2:$B$106,MATCH(B68,Dim_Site!$A$2:$A$106,0))</f>
        <v>Anchusa CPOA</v>
      </c>
    </row>
    <row r="69" customFormat="false" ht="15" hidden="false" customHeight="true" outlineLevel="0" collapsed="false">
      <c r="A69" s="10" t="s">
        <v>193</v>
      </c>
      <c r="B69" s="10" t="s">
        <v>694</v>
      </c>
      <c r="C69" s="10" t="str">
        <f aca="false">INDEX(Dim_Site!$B$2:$B$106,MATCH(B69,Dim_Site!$A$2:$A$106,0))</f>
        <v>Avondrust CPOA</v>
      </c>
    </row>
    <row r="70" customFormat="false" ht="15" hidden="false" customHeight="true" outlineLevel="0" collapsed="false">
      <c r="A70" s="10" t="s">
        <v>195</v>
      </c>
      <c r="B70" s="10" t="s">
        <v>695</v>
      </c>
      <c r="C70" s="10" t="str">
        <f aca="false">INDEX(Dim_Site!$B$2:$B$106,MATCH(B70,Dim_Site!$A$2:$A$106,0))</f>
        <v>Gugulethu MOU</v>
      </c>
    </row>
    <row r="71" customFormat="false" ht="15" hidden="false" customHeight="true" outlineLevel="0" collapsed="false">
      <c r="A71" s="10" t="s">
        <v>195</v>
      </c>
      <c r="B71" s="10" t="s">
        <v>696</v>
      </c>
      <c r="C71" s="10" t="str">
        <f aca="false">INDEX(Dim_Site!$B$2:$B$106,MATCH(B71,Dim_Site!$A$2:$A$106,0))</f>
        <v>Erica Place CPOA</v>
      </c>
    </row>
    <row r="72" customFormat="false" ht="15" hidden="false" customHeight="true" outlineLevel="0" collapsed="false">
      <c r="A72" s="10" t="s">
        <v>195</v>
      </c>
      <c r="B72" s="10" t="s">
        <v>697</v>
      </c>
      <c r="C72" s="10" t="str">
        <f aca="false">INDEX(Dim_Site!$B$2:$B$106,MATCH(B72,Dim_Site!$A$2:$A$106,0))</f>
        <v>Lotus River CPOA</v>
      </c>
    </row>
    <row r="73" customFormat="false" ht="15" hidden="false" customHeight="true" outlineLevel="0" collapsed="false">
      <c r="A73" s="10" t="s">
        <v>195</v>
      </c>
      <c r="B73" s="10" t="s">
        <v>698</v>
      </c>
      <c r="C73" s="10" t="str">
        <f aca="false">INDEX(Dim_Site!$B$2:$B$106,MATCH(B73,Dim_Site!$A$2:$A$106,0))</f>
        <v>Retreat MOU</v>
      </c>
    </row>
    <row r="74" customFormat="false" ht="15" hidden="false" customHeight="true" outlineLevel="0" collapsed="false">
      <c r="A74" s="10" t="s">
        <v>197</v>
      </c>
      <c r="B74" s="10" t="s">
        <v>682</v>
      </c>
      <c r="C74" s="10" t="str">
        <f aca="false">INDEX(Dim_Site!$B$2:$B$106,MATCH(B74,Dim_Site!$A$2:$A$106,0))</f>
        <v>Groote Schuur Hospital</v>
      </c>
    </row>
    <row r="75" customFormat="false" ht="15" hidden="false" customHeight="true" outlineLevel="0" collapsed="false">
      <c r="A75" s="10" t="s">
        <v>202</v>
      </c>
      <c r="B75" s="10" t="s">
        <v>682</v>
      </c>
      <c r="C75" s="10" t="str">
        <f aca="false">INDEX(Dim_Site!$B$2:$B$106,MATCH(B75,Dim_Site!$A$2:$A$106,0))</f>
        <v>Groote Schuur Hospital</v>
      </c>
    </row>
    <row r="76" customFormat="false" ht="15" hidden="false" customHeight="true" outlineLevel="0" collapsed="false">
      <c r="A76" s="10" t="s">
        <v>203</v>
      </c>
      <c r="B76" s="10" t="s">
        <v>649</v>
      </c>
      <c r="C76" s="10" t="str">
        <f aca="false">INDEX(Dim_Site!$B$2:$B$106,MATCH(B76,Dim_Site!$A$2:$A$106,0))</f>
        <v>Tygerberg Hospital</v>
      </c>
    </row>
    <row r="77" customFormat="false" ht="15" hidden="false" customHeight="true" outlineLevel="0" collapsed="false">
      <c r="A77" s="10" t="s">
        <v>204</v>
      </c>
      <c r="B77" s="10" t="s">
        <v>687</v>
      </c>
      <c r="C77" s="10" t="str">
        <f aca="false">INDEX(Dim_Site!$B$2:$B$106,MATCH(B77,Dim_Site!$A$2:$A$106,0))</f>
        <v>Red Cross War Memorial Children's Hospital</v>
      </c>
    </row>
    <row r="78" customFormat="false" ht="15" hidden="false" customHeight="true" outlineLevel="0" collapsed="false">
      <c r="A78" s="10" t="s">
        <v>204</v>
      </c>
      <c r="B78" s="10" t="s">
        <v>686</v>
      </c>
      <c r="C78" s="10" t="str">
        <f aca="false">INDEX(Dim_Site!$B$2:$B$106,MATCH(B78,Dim_Site!$A$2:$A$106,0))</f>
        <v>Mowbray Maternity Hospital</v>
      </c>
    </row>
    <row r="79" customFormat="false" ht="15" hidden="false" customHeight="true" outlineLevel="0" collapsed="false">
      <c r="A79" s="10" t="s">
        <v>208</v>
      </c>
      <c r="B79" s="10" t="s">
        <v>683</v>
      </c>
      <c r="C79" s="10" t="str">
        <f aca="false">INDEX(Dim_Site!$B$2:$B$106,MATCH(B79,Dim_Site!$A$2:$A$106,0))</f>
        <v>Mitchells Plain District Hospital</v>
      </c>
    </row>
    <row r="80" customFormat="false" ht="15" hidden="false" customHeight="true" outlineLevel="0" collapsed="false">
      <c r="A80" s="10" t="s">
        <v>208</v>
      </c>
      <c r="B80" s="10" t="s">
        <v>699</v>
      </c>
      <c r="C80" s="10" t="str">
        <f aca="false">INDEX(Dim_Site!$B$2:$B$106,MATCH(B80,Dim_Site!$A$2:$A$106,0))</f>
        <v>Lentegeur Hospital</v>
      </c>
    </row>
    <row r="81" customFormat="false" ht="15" hidden="false" customHeight="true" outlineLevel="0" collapsed="false">
      <c r="A81" s="10" t="s">
        <v>208</v>
      </c>
      <c r="B81" s="10" t="s">
        <v>700</v>
      </c>
      <c r="C81" s="10" t="str">
        <f aca="false">INDEX(Dim_Site!$B$2:$B$106,MATCH(B81,Dim_Site!$A$2:$A$106,0))</f>
        <v>Mitchells Plain MOU</v>
      </c>
    </row>
    <row r="82" customFormat="false" ht="15" hidden="false" customHeight="true" outlineLevel="0" collapsed="false">
      <c r="A82" s="10" t="s">
        <v>212</v>
      </c>
      <c r="B82" s="10" t="s">
        <v>701</v>
      </c>
      <c r="C82" s="10" t="str">
        <f aca="false">INDEX(Dim_Site!$B$2:$B$106,MATCH(B82,Dim_Site!$A$2:$A$106,0))</f>
        <v>Helderberg Hospital</v>
      </c>
    </row>
    <row r="83" customFormat="false" ht="15" hidden="false" customHeight="true" outlineLevel="0" collapsed="false">
      <c r="A83" s="10" t="s">
        <v>212</v>
      </c>
      <c r="B83" s="10" t="s">
        <v>702</v>
      </c>
      <c r="C83" s="10" t="str">
        <f aca="false">INDEX(Dim_Site!$B$2:$B$106,MATCH(B83,Dim_Site!$A$2:$A$106,0))</f>
        <v>Macassar MOU</v>
      </c>
    </row>
    <row r="84" customFormat="false" ht="15" hidden="false" customHeight="true" outlineLevel="0" collapsed="false">
      <c r="A84" s="10" t="s">
        <v>212</v>
      </c>
      <c r="B84" s="10" t="s">
        <v>703</v>
      </c>
      <c r="C84" s="10" t="str">
        <f aca="false">INDEX(Dim_Site!$B$2:$B$106,MATCH(B84,Dim_Site!$A$2:$A$106,0))</f>
        <v>Kleinvlei MOU</v>
      </c>
    </row>
    <row r="85" customFormat="false" ht="15" hidden="false" customHeight="true" outlineLevel="0" collapsed="false">
      <c r="A85" s="10" t="s">
        <v>212</v>
      </c>
      <c r="B85" s="10" t="s">
        <v>704</v>
      </c>
      <c r="C85" s="10" t="str">
        <f aca="false">INDEX(Dim_Site!$B$2:$B$106,MATCH(B85,Dim_Site!$A$2:$A$106,0))</f>
        <v>Site B, Khayelitsha MOU</v>
      </c>
    </row>
    <row r="86" customFormat="false" ht="15" hidden="false" customHeight="true" outlineLevel="0" collapsed="false">
      <c r="A86" s="10" t="s">
        <v>212</v>
      </c>
      <c r="B86" s="10" t="s">
        <v>705</v>
      </c>
      <c r="C86" s="10" t="str">
        <f aca="false">INDEX(Dim_Site!$B$2:$B$106,MATCH(B86,Dim_Site!$A$2:$A$106,0))</f>
        <v>Michael Mapongwana MOU</v>
      </c>
    </row>
    <row r="87" customFormat="false" ht="15" hidden="false" customHeight="true" outlineLevel="0" collapsed="false">
      <c r="A87" s="10" t="s">
        <v>215</v>
      </c>
      <c r="B87" s="10" t="s">
        <v>706</v>
      </c>
      <c r="C87" s="10" t="str">
        <f aca="false">INDEX(Dim_Site!$B$2:$B$106,MATCH(B87,Dim_Site!$A$2:$A$106,0))</f>
        <v>Paarl Hospital</v>
      </c>
    </row>
    <row r="88" customFormat="false" ht="15" hidden="false" customHeight="true" outlineLevel="0" collapsed="false">
      <c r="A88" s="10" t="s">
        <v>218</v>
      </c>
      <c r="B88" s="10" t="s">
        <v>707</v>
      </c>
      <c r="C88" s="10" t="str">
        <f aca="false">INDEX(Dim_Site!$B$2:$B$106,MATCH(B88,Dim_Site!$A$2:$A$106,0))</f>
        <v>Stellenbosch Hospital</v>
      </c>
    </row>
    <row r="89" customFormat="false" ht="15" hidden="false" customHeight="true" outlineLevel="0" collapsed="false">
      <c r="A89" s="10" t="s">
        <v>222</v>
      </c>
      <c r="B89" s="10" t="s">
        <v>708</v>
      </c>
      <c r="C89" s="10" t="str">
        <f aca="false">INDEX(Dim_Site!$B$2:$B$106,MATCH(B89,Dim_Site!$A$2:$A$106,0))</f>
        <v>CPT International Airport</v>
      </c>
    </row>
    <row r="90" customFormat="false" ht="15" hidden="false" customHeight="true" outlineLevel="0" collapsed="false">
      <c r="A90" s="10" t="s">
        <v>228</v>
      </c>
      <c r="B90" s="10" t="s">
        <v>687</v>
      </c>
      <c r="C90" s="10" t="str">
        <f aca="false">INDEX(Dim_Site!$B$2:$B$106,MATCH(B90,Dim_Site!$A$2:$A$106,0))</f>
        <v>Red Cross War Memorial Children's Hospital</v>
      </c>
    </row>
    <row r="91" customFormat="false" ht="15" hidden="false" customHeight="true" outlineLevel="0" collapsed="false">
      <c r="A91" s="10" t="s">
        <v>233</v>
      </c>
      <c r="B91" s="10" t="s">
        <v>681</v>
      </c>
      <c r="C91" s="10" t="str">
        <f aca="false">INDEX(Dim_Site!$B$2:$B$106,MATCH(B91,Dim_Site!$A$2:$A$106,0))</f>
        <v>Khayelitsha District Hospital</v>
      </c>
    </row>
    <row r="92" customFormat="false" ht="15" hidden="false" customHeight="true" outlineLevel="0" collapsed="false">
      <c r="A92" s="10" t="s">
        <v>238</v>
      </c>
      <c r="B92" s="10" t="s">
        <v>650</v>
      </c>
      <c r="C92" s="10" t="str">
        <f aca="false">INDEX(Dim_Site!$B$2:$B$106,MATCH(B92,Dim_Site!$A$2:$A$106,0))</f>
        <v>Karl Bremer Hospital</v>
      </c>
    </row>
    <row r="93" customFormat="false" ht="15" hidden="false" customHeight="true" outlineLevel="0" collapsed="false">
      <c r="A93" s="10" t="s">
        <v>241</v>
      </c>
      <c r="B93" s="10" t="s">
        <v>682</v>
      </c>
      <c r="C93" s="10" t="str">
        <f aca="false">INDEX(Dim_Site!$B$2:$B$106,MATCH(B93,Dim_Site!$A$2:$A$106,0))</f>
        <v>Groote Schuur Hospital</v>
      </c>
    </row>
    <row r="94" customFormat="false" ht="15" hidden="false" customHeight="true" outlineLevel="0" collapsed="false">
      <c r="A94" s="10" t="s">
        <v>244</v>
      </c>
      <c r="B94" s="10" t="s">
        <v>682</v>
      </c>
      <c r="C94" s="10" t="str">
        <f aca="false">INDEX(Dim_Site!$B$2:$B$106,MATCH(B94,Dim_Site!$A$2:$A$106,0))</f>
        <v>Groote Schuur Hospital</v>
      </c>
    </row>
    <row r="95" customFormat="false" ht="15" hidden="false" customHeight="true" outlineLevel="0" collapsed="false">
      <c r="A95" s="10" t="s">
        <v>246</v>
      </c>
      <c r="B95" s="10" t="s">
        <v>649</v>
      </c>
      <c r="C95" s="10" t="str">
        <f aca="false">INDEX(Dim_Site!$B$2:$B$106,MATCH(B95,Dim_Site!$A$2:$A$106,0))</f>
        <v>Tygerberg Hospital</v>
      </c>
    </row>
    <row r="96" customFormat="false" ht="15" hidden="false" customHeight="true" outlineLevel="0" collapsed="false">
      <c r="A96" s="10" t="s">
        <v>250</v>
      </c>
      <c r="B96" s="10" t="s">
        <v>681</v>
      </c>
      <c r="C96" s="10" t="str">
        <f aca="false">INDEX(Dim_Site!$B$2:$B$106,MATCH(B96,Dim_Site!$A$2:$A$106,0))</f>
        <v>Khayelitsha District Hospital</v>
      </c>
    </row>
    <row r="97" customFormat="false" ht="15" hidden="false" customHeight="true" outlineLevel="0" collapsed="false">
      <c r="A97" s="10" t="s">
        <v>250</v>
      </c>
      <c r="B97" s="10" t="s">
        <v>709</v>
      </c>
      <c r="C97" s="10" t="str">
        <f aca="false">INDEX(Dim_Site!$B$2:$B$106,MATCH(B97,Dim_Site!$A$2:$A$106,0))</f>
        <v>UWC Dental Mitchells Plain</v>
      </c>
    </row>
    <row r="98" customFormat="false" ht="15" hidden="false" customHeight="true" outlineLevel="0" collapsed="false">
      <c r="A98" s="10" t="s">
        <v>250</v>
      </c>
      <c r="B98" s="10" t="s">
        <v>683</v>
      </c>
      <c r="C98" s="10" t="str">
        <f aca="false">INDEX(Dim_Site!$B$2:$B$106,MATCH(B98,Dim_Site!$A$2:$A$106,0))</f>
        <v>Mitchells Plain District Hospital</v>
      </c>
    </row>
    <row r="99" customFormat="false" ht="15" hidden="false" customHeight="true" outlineLevel="0" collapsed="false">
      <c r="A99" s="10" t="s">
        <v>254</v>
      </c>
      <c r="B99" s="10" t="s">
        <v>650</v>
      </c>
      <c r="C99" s="10" t="str">
        <f aca="false">INDEX(Dim_Site!$B$2:$B$106,MATCH(B99,Dim_Site!$A$2:$A$106,0))</f>
        <v>Karl Bremer Hospital</v>
      </c>
    </row>
    <row r="100" customFormat="false" ht="15" hidden="false" customHeight="true" outlineLevel="0" collapsed="false">
      <c r="A100" s="10" t="s">
        <v>254</v>
      </c>
      <c r="B100" s="10" t="s">
        <v>710</v>
      </c>
      <c r="C100" s="10" t="str">
        <f aca="false">INDEX(Dim_Site!$B$2:$B$106,MATCH(B100,Dim_Site!$A$2:$A$106,0))</f>
        <v>Kraaifontein Hospital</v>
      </c>
    </row>
    <row r="101" customFormat="false" ht="15" hidden="false" customHeight="true" outlineLevel="0" collapsed="false">
      <c r="A101" s="10" t="s">
        <v>258</v>
      </c>
      <c r="B101" s="10" t="s">
        <v>686</v>
      </c>
      <c r="C101" s="10" t="str">
        <f aca="false">INDEX(Dim_Site!$B$2:$B$106,MATCH(B101,Dim_Site!$A$2:$A$106,0))</f>
        <v>Mowbray Maternity Hospital</v>
      </c>
    </row>
    <row r="102" customFormat="false" ht="15" hidden="false" customHeight="true" outlineLevel="0" collapsed="false">
      <c r="A102" s="10" t="s">
        <v>258</v>
      </c>
      <c r="B102" s="10" t="s">
        <v>687</v>
      </c>
      <c r="C102" s="10" t="str">
        <f aca="false">INDEX(Dim_Site!$B$2:$B$106,MATCH(B102,Dim_Site!$A$2:$A$106,0))</f>
        <v>Red Cross War Memorial Children's Hospital</v>
      </c>
    </row>
    <row r="103" customFormat="false" ht="15" hidden="false" customHeight="true" outlineLevel="0" collapsed="false">
      <c r="A103" s="10" t="s">
        <v>261</v>
      </c>
      <c r="B103" s="10" t="s">
        <v>710</v>
      </c>
      <c r="C103" s="10" t="str">
        <f aca="false">INDEX(Dim_Site!$B$2:$B$106,MATCH(B103,Dim_Site!$A$2:$A$106,0))</f>
        <v>Kraaifontein Hospital</v>
      </c>
    </row>
    <row r="104" customFormat="false" ht="15" hidden="false" customHeight="true" outlineLevel="0" collapsed="false">
      <c r="A104" s="10" t="s">
        <v>264</v>
      </c>
      <c r="B104" s="10" t="s">
        <v>650</v>
      </c>
      <c r="C104" s="10" t="str">
        <f aca="false">INDEX(Dim_Site!$B$2:$B$106,MATCH(B104,Dim_Site!$A$2:$A$106,0))</f>
        <v>Karl Bremer Hospital</v>
      </c>
    </row>
    <row r="105" customFormat="false" ht="15" hidden="false" customHeight="true" outlineLevel="0" collapsed="false">
      <c r="A105" s="10" t="s">
        <v>264</v>
      </c>
      <c r="B105" s="10" t="s">
        <v>706</v>
      </c>
      <c r="C105" s="10" t="str">
        <f aca="false">INDEX(Dim_Site!$B$2:$B$106,MATCH(B105,Dim_Site!$A$2:$A$106,0))</f>
        <v>Paarl Hospital</v>
      </c>
    </row>
    <row r="106" customFormat="false" ht="15" hidden="false" customHeight="true" outlineLevel="0" collapsed="false">
      <c r="A106" s="10" t="s">
        <v>267</v>
      </c>
      <c r="B106" s="10" t="s">
        <v>706</v>
      </c>
      <c r="C106" s="10" t="str">
        <f aca="false">INDEX(Dim_Site!$B$2:$B$106,MATCH(B106,Dim_Site!$A$2:$A$106,0))</f>
        <v>Paarl Hospital</v>
      </c>
    </row>
    <row r="107" customFormat="false" ht="15" hidden="false" customHeight="true" outlineLevel="0" collapsed="false">
      <c r="A107" s="10" t="s">
        <v>271</v>
      </c>
      <c r="B107" s="10" t="s">
        <v>648</v>
      </c>
      <c r="C107" s="10" t="str">
        <f aca="false">INDEX(Dim_Site!$B$2:$B$106,MATCH(B107,Dim_Site!$A$2:$A$106,0))</f>
        <v>Worcester Hospital</v>
      </c>
    </row>
    <row r="108" customFormat="false" ht="15" hidden="false" customHeight="true" outlineLevel="0" collapsed="false">
      <c r="A108" s="10" t="s">
        <v>276</v>
      </c>
      <c r="B108" s="10" t="s">
        <v>711</v>
      </c>
      <c r="C108" s="10" t="str">
        <f aca="false">INDEX(Dim_Site!$B$2:$B$106,MATCH(B108,Dim_Site!$A$2:$A$106,0))</f>
        <v>Victoria Hospital</v>
      </c>
    </row>
    <row r="109" customFormat="false" ht="15" hidden="false" customHeight="true" outlineLevel="0" collapsed="false">
      <c r="A109" s="10" t="s">
        <v>276</v>
      </c>
      <c r="B109" s="10" t="s">
        <v>661</v>
      </c>
      <c r="C109" s="10" t="str">
        <f aca="false">INDEX(Dim_Site!$B$2:$B$106,MATCH(B109,Dim_Site!$A$2:$A$106,0))</f>
        <v>Lady Michaelis CDC</v>
      </c>
    </row>
    <row r="110" customFormat="false" ht="15" hidden="false" customHeight="true" outlineLevel="0" collapsed="false">
      <c r="A110" s="10" t="s">
        <v>276</v>
      </c>
      <c r="B110" s="10" t="s">
        <v>659</v>
      </c>
      <c r="C110" s="10" t="str">
        <f aca="false">INDEX(Dim_Site!$B$2:$B$106,MATCH(B110,Dim_Site!$A$2:$A$106,0))</f>
        <v>Lotus River (facility not stated)</v>
      </c>
    </row>
    <row r="111" customFormat="false" ht="15" hidden="false" customHeight="true" outlineLevel="0" collapsed="false">
      <c r="A111" s="10" t="s">
        <v>276</v>
      </c>
      <c r="B111" s="10" t="s">
        <v>712</v>
      </c>
      <c r="C111" s="10" t="str">
        <f aca="false">INDEX(Dim_Site!$B$2:$B$106,MATCH(B111,Dim_Site!$A$2:$A$106,0))</f>
        <v>Grassy Park (facility not stated)</v>
      </c>
    </row>
    <row r="112" customFormat="false" ht="15" hidden="false" customHeight="true" outlineLevel="0" collapsed="false">
      <c r="A112" s="10" t="s">
        <v>280</v>
      </c>
      <c r="B112" s="10" t="s">
        <v>678</v>
      </c>
      <c r="C112" s="10" t="str">
        <f aca="false">INDEX(Dim_Site!$B$2:$B$106,MATCH(B112,Dim_Site!$A$2:$A$106,0))</f>
        <v>Macassar CHC</v>
      </c>
    </row>
    <row r="113" customFormat="false" ht="15" hidden="false" customHeight="true" outlineLevel="0" collapsed="false">
      <c r="A113" s="10" t="s">
        <v>280</v>
      </c>
      <c r="B113" s="10" t="s">
        <v>713</v>
      </c>
      <c r="C113" s="10" t="str">
        <f aca="false">INDEX(Dim_Site!$B$2:$B$106,MATCH(B113,Dim_Site!$A$2:$A$106,0))</f>
        <v>Elsies River (facility not stated)</v>
      </c>
    </row>
    <row r="114" customFormat="false" ht="15" hidden="false" customHeight="true" outlineLevel="0" collapsed="false">
      <c r="A114" s="10" t="s">
        <v>280</v>
      </c>
      <c r="B114" s="10" t="s">
        <v>667</v>
      </c>
      <c r="C114" s="10" t="str">
        <f aca="false">INDEX(Dim_Site!$B$2:$B$106,MATCH(B114,Dim_Site!$A$2:$A$106,0))</f>
        <v>Gugulethu (facility not stated)</v>
      </c>
    </row>
    <row r="115" customFormat="false" ht="15" hidden="false" customHeight="true" outlineLevel="0" collapsed="false">
      <c r="A115" s="10" t="s">
        <v>280</v>
      </c>
      <c r="B115" s="10" t="s">
        <v>663</v>
      </c>
      <c r="C115" s="10" t="str">
        <f aca="false">INDEX(Dim_Site!$B$2:$B$106,MATCH(B115,Dim_Site!$A$2:$A$106,0))</f>
        <v>Vanguard CHC</v>
      </c>
    </row>
    <row r="116" customFormat="false" ht="15" hidden="false" customHeight="true" outlineLevel="0" collapsed="false">
      <c r="A116" s="10" t="s">
        <v>280</v>
      </c>
      <c r="B116" s="10" t="s">
        <v>660</v>
      </c>
      <c r="C116" s="10" t="str">
        <f aca="false">INDEX(Dim_Site!$B$2:$B$106,MATCH(B116,Dim_Site!$A$2:$A$106,0))</f>
        <v>Retreat CHC</v>
      </c>
    </row>
    <row r="117" customFormat="false" ht="15" hidden="false" customHeight="true" outlineLevel="0" collapsed="false">
      <c r="A117" s="10" t="s">
        <v>283</v>
      </c>
      <c r="B117" s="10" t="s">
        <v>714</v>
      </c>
      <c r="C117" s="10" t="str">
        <f aca="false">INDEX(Dim_Site!$B$2:$B$106,MATCH(B117,Dim_Site!$A$2:$A$106,0))</f>
        <v>Khayelitsha (facility not stated)</v>
      </c>
    </row>
    <row r="118" customFormat="false" ht="15" hidden="false" customHeight="true" outlineLevel="0" collapsed="false">
      <c r="A118" s="10" t="s">
        <v>283</v>
      </c>
      <c r="B118" s="10" t="s">
        <v>653</v>
      </c>
      <c r="C118" s="10" t="str">
        <f aca="false">INDEX(Dim_Site!$B$2:$B$106,MATCH(B118,Dim_Site!$A$2:$A$106,0))</f>
        <v>Michael Mapongwana CDC</v>
      </c>
    </row>
    <row r="119" customFormat="false" ht="15" hidden="false" customHeight="true" outlineLevel="0" collapsed="false">
      <c r="A119" s="10" t="s">
        <v>283</v>
      </c>
      <c r="B119" s="10" t="s">
        <v>654</v>
      </c>
      <c r="C119" s="10" t="str">
        <f aca="false">INDEX(Dim_Site!$B$2:$B$106,MATCH(B119,Dim_Site!$A$2:$A$106,0))</f>
        <v>Site B, Khayelitsha CDC</v>
      </c>
    </row>
    <row r="120" customFormat="false" ht="15" hidden="false" customHeight="true" outlineLevel="0" collapsed="false">
      <c r="A120" s="10" t="s">
        <v>283</v>
      </c>
      <c r="B120" s="10" t="s">
        <v>655</v>
      </c>
      <c r="C120" s="10" t="str">
        <f aca="false">INDEX(Dim_Site!$B$2:$B$106,MATCH(B120,Dim_Site!$A$2:$A$106,0))</f>
        <v>Kuyasa Clinic (Khayelitsha)</v>
      </c>
    </row>
    <row r="121" customFormat="false" ht="15" hidden="false" customHeight="true" outlineLevel="0" collapsed="false">
      <c r="A121" s="10" t="s">
        <v>283</v>
      </c>
      <c r="B121" s="10" t="s">
        <v>656</v>
      </c>
      <c r="C121" s="10" t="str">
        <f aca="false">INDEX(Dim_Site!$B$2:$B$106,MATCH(B121,Dim_Site!$A$2:$A$106,0))</f>
        <v>Nolungile CDC</v>
      </c>
    </row>
    <row r="122" customFormat="false" ht="15" hidden="false" customHeight="true" outlineLevel="0" collapsed="false">
      <c r="A122" s="10" t="s">
        <v>287</v>
      </c>
      <c r="B122" s="10" t="s">
        <v>683</v>
      </c>
      <c r="C122" s="10" t="str">
        <f aca="false">INDEX(Dim_Site!$B$2:$B$106,MATCH(B122,Dim_Site!$A$2:$A$106,0))</f>
        <v>Mitchells Plain District Hospital</v>
      </c>
    </row>
    <row r="123" customFormat="false" ht="15" hidden="false" customHeight="true" outlineLevel="0" collapsed="false">
      <c r="A123" s="10" t="s">
        <v>287</v>
      </c>
      <c r="B123" s="10" t="s">
        <v>700</v>
      </c>
      <c r="C123" s="10" t="str">
        <f aca="false">INDEX(Dim_Site!$B$2:$B$106,MATCH(B123,Dim_Site!$A$2:$A$106,0))</f>
        <v>Mitchells Plain MOU</v>
      </c>
    </row>
    <row r="124" customFormat="false" ht="15" hidden="false" customHeight="true" outlineLevel="0" collapsed="false">
      <c r="A124" s="10" t="s">
        <v>287</v>
      </c>
      <c r="B124" s="10" t="s">
        <v>715</v>
      </c>
      <c r="C124" s="10" t="str">
        <f aca="false">INDEX(Dim_Site!$B$2:$B$106,MATCH(B124,Dim_Site!$A$2:$A$106,0))</f>
        <v>Lentegeur (facility not stated)</v>
      </c>
    </row>
    <row r="125" customFormat="false" ht="15" hidden="false" customHeight="true" outlineLevel="0" collapsed="false">
      <c r="A125" s="10" t="s">
        <v>287</v>
      </c>
      <c r="B125" s="10" t="s">
        <v>716</v>
      </c>
      <c r="C125" s="10" t="str">
        <f aca="false">INDEX(Dim_Site!$B$2:$B$106,MATCH(B125,Dim_Site!$A$2:$A$106,0))</f>
        <v>Eastridge (facility not stated)</v>
      </c>
    </row>
    <row r="126" customFormat="false" ht="15" hidden="false" customHeight="true" outlineLevel="0" collapsed="false">
      <c r="A126" s="10" t="s">
        <v>287</v>
      </c>
      <c r="B126" s="10" t="s">
        <v>657</v>
      </c>
      <c r="C126" s="10" t="str">
        <f aca="false">INDEX(Dim_Site!$B$2:$B$106,MATCH(B126,Dim_Site!$A$2:$A$106,0))</f>
        <v>Rocklands Clinic</v>
      </c>
    </row>
    <row r="127" customFormat="false" ht="15" hidden="false" customHeight="true" outlineLevel="0" collapsed="false">
      <c r="A127" s="10" t="s">
        <v>289</v>
      </c>
      <c r="B127" s="10" t="s">
        <v>669</v>
      </c>
      <c r="C127" s="10" t="str">
        <f aca="false">INDEX(Dim_Site!$B$2:$B$106,MATCH(B127,Dim_Site!$A$2:$A$106,0))</f>
        <v>Parow CDC</v>
      </c>
    </row>
    <row r="128" customFormat="false" ht="15" hidden="false" customHeight="true" outlineLevel="0" collapsed="false">
      <c r="A128" s="10" t="s">
        <v>289</v>
      </c>
      <c r="B128" s="10" t="s">
        <v>672</v>
      </c>
      <c r="C128" s="10" t="str">
        <f aca="false">INDEX(Dim_Site!$B$2:$B$106,MATCH(B128,Dim_Site!$A$2:$A$106,0))</f>
        <v>Ravensmead CDC</v>
      </c>
    </row>
    <row r="129" customFormat="false" ht="15" hidden="false" customHeight="true" outlineLevel="0" collapsed="false">
      <c r="A129" s="10" t="s">
        <v>289</v>
      </c>
      <c r="B129" s="10" t="s">
        <v>671</v>
      </c>
      <c r="C129" s="10" t="str">
        <f aca="false">INDEX(Dim_Site!$B$2:$B$106,MATCH(B129,Dim_Site!$A$2:$A$106,0))</f>
        <v>Ruyterwacht CDC</v>
      </c>
    </row>
    <row r="130" customFormat="false" ht="15" hidden="false" customHeight="true" outlineLevel="0" collapsed="false">
      <c r="A130" s="10" t="s">
        <v>289</v>
      </c>
      <c r="B130" s="10" t="s">
        <v>664</v>
      </c>
      <c r="C130" s="10" t="str">
        <f aca="false">INDEX(Dim_Site!$B$2:$B$106,MATCH(B130,Dim_Site!$A$2:$A$106,0))</f>
        <v>Langa CDC</v>
      </c>
    </row>
    <row r="131" customFormat="false" ht="15" hidden="false" customHeight="true" outlineLevel="0" collapsed="false">
      <c r="A131" s="10" t="s">
        <v>289</v>
      </c>
      <c r="B131" s="10" t="s">
        <v>667</v>
      </c>
      <c r="C131" s="10" t="str">
        <f aca="false">INDEX(Dim_Site!$B$2:$B$106,MATCH(B131,Dim_Site!$A$2:$A$106,0))</f>
        <v>Gugulethu (facility not stated)</v>
      </c>
    </row>
    <row r="132" customFormat="false" ht="15" hidden="false" customHeight="true" outlineLevel="0" collapsed="false">
      <c r="A132" s="10" t="s">
        <v>289</v>
      </c>
      <c r="B132" s="10" t="s">
        <v>665</v>
      </c>
      <c r="C132" s="10" t="str">
        <f aca="false">INDEX(Dim_Site!$B$2:$B$106,MATCH(B132,Dim_Site!$A$2:$A$106,0))</f>
        <v>Landsdowne Clinic</v>
      </c>
    </row>
    <row r="133" customFormat="false" ht="15" hidden="false" customHeight="true" outlineLevel="0" collapsed="false">
      <c r="A133" s="10" t="s">
        <v>291</v>
      </c>
      <c r="B133" s="10" t="s">
        <v>650</v>
      </c>
      <c r="C133" s="10" t="str">
        <f aca="false">INDEX(Dim_Site!$B$2:$B$106,MATCH(B133,Dim_Site!$A$2:$A$106,0))</f>
        <v>Karl Bremer Hospital</v>
      </c>
    </row>
    <row r="134" customFormat="false" ht="15" hidden="false" customHeight="true" outlineLevel="0" collapsed="false">
      <c r="A134" s="10" t="s">
        <v>291</v>
      </c>
      <c r="B134" s="10" t="s">
        <v>668</v>
      </c>
      <c r="C134" s="10" t="str">
        <f aca="false">INDEX(Dim_Site!$B$2:$B$106,MATCH(B134,Dim_Site!$A$2:$A$106,0))</f>
        <v>Reed Street CDC</v>
      </c>
    </row>
    <row r="135" customFormat="false" ht="15" hidden="false" customHeight="true" outlineLevel="0" collapsed="false">
      <c r="A135" s="10" t="s">
        <v>291</v>
      </c>
      <c r="B135" s="10" t="s">
        <v>673</v>
      </c>
      <c r="C135" s="10" t="str">
        <f aca="false">INDEX(Dim_Site!$B$2:$B$106,MATCH(B135,Dim_Site!$A$2:$A$106,0))</f>
        <v>St Vincent CDC</v>
      </c>
    </row>
    <row r="136" customFormat="false" ht="15" hidden="false" customHeight="true" outlineLevel="0" collapsed="false">
      <c r="A136" s="10" t="s">
        <v>291</v>
      </c>
      <c r="B136" s="10" t="s">
        <v>675</v>
      </c>
      <c r="C136" s="10" t="str">
        <f aca="false">INDEX(Dim_Site!$B$2:$B$106,MATCH(B136,Dim_Site!$A$2:$A$106,0))</f>
        <v>Kasselsvlei (Bellville South) CDC</v>
      </c>
    </row>
    <row r="137" customFormat="false" ht="15" hidden="false" customHeight="true" outlineLevel="0" collapsed="false">
      <c r="A137" s="10" t="s">
        <v>291</v>
      </c>
      <c r="B137" s="10" t="s">
        <v>717</v>
      </c>
      <c r="C137" s="10" t="str">
        <f aca="false">INDEX(Dim_Site!$B$2:$B$106,MATCH(B137,Dim_Site!$A$2:$A$106,0))</f>
        <v>Scottsdene Clinic</v>
      </c>
    </row>
    <row r="138" customFormat="false" ht="15" hidden="false" customHeight="true" outlineLevel="0" collapsed="false">
      <c r="A138" s="10" t="s">
        <v>294</v>
      </c>
      <c r="B138" s="10" t="s">
        <v>651</v>
      </c>
      <c r="C138" s="10" t="str">
        <f aca="false">INDEX(Dim_Site!$B$2:$B$106,MATCH(B138,Dim_Site!$A$2:$A$106,0))</f>
        <v>New Somerset Hospital</v>
      </c>
    </row>
    <row r="139" customFormat="false" ht="15" hidden="false" customHeight="true" outlineLevel="0" collapsed="false">
      <c r="A139" s="10" t="s">
        <v>294</v>
      </c>
      <c r="B139" s="10" t="s">
        <v>686</v>
      </c>
      <c r="C139" s="10" t="str">
        <f aca="false">INDEX(Dim_Site!$B$2:$B$106,MATCH(B139,Dim_Site!$A$2:$A$106,0))</f>
        <v>Mowbray Maternity Hospital</v>
      </c>
    </row>
    <row r="140" customFormat="false" ht="15" hidden="false" customHeight="true" outlineLevel="0" collapsed="false">
      <c r="A140" s="10" t="s">
        <v>294</v>
      </c>
      <c r="B140" s="10" t="s">
        <v>718</v>
      </c>
      <c r="C140" s="10" t="str">
        <f aca="false">INDEX(Dim_Site!$B$2:$B$106,MATCH(B140,Dim_Site!$A$2:$A$106,0))</f>
        <v>District 6 CHC</v>
      </c>
    </row>
    <row r="141" customFormat="false" ht="15" hidden="false" customHeight="true" outlineLevel="0" collapsed="false">
      <c r="A141" s="10" t="s">
        <v>299</v>
      </c>
      <c r="B141" s="10" t="s">
        <v>707</v>
      </c>
      <c r="C141" s="10" t="str">
        <f aca="false">INDEX(Dim_Site!$B$2:$B$106,MATCH(B141,Dim_Site!$A$2:$A$106,0))</f>
        <v>Stellenbosch Hospital</v>
      </c>
    </row>
    <row r="142" customFormat="false" ht="15" hidden="false" customHeight="true" outlineLevel="0" collapsed="false">
      <c r="A142" s="10" t="s">
        <v>301</v>
      </c>
      <c r="B142" s="10" t="s">
        <v>667</v>
      </c>
      <c r="C142" s="10" t="str">
        <f aca="false">INDEX(Dim_Site!$B$2:$B$106,MATCH(B142,Dim_Site!$A$2:$A$106,0))</f>
        <v>Gugulethu (facility not stated)</v>
      </c>
    </row>
    <row r="143" customFormat="false" ht="15" hidden="false" customHeight="true" outlineLevel="0" collapsed="false">
      <c r="A143" s="10" t="s">
        <v>301</v>
      </c>
      <c r="B143" s="10" t="s">
        <v>713</v>
      </c>
      <c r="C143" s="10" t="str">
        <f aca="false">INDEX(Dim_Site!$B$2:$B$106,MATCH(B143,Dim_Site!$A$2:$A$106,0))</f>
        <v>Elsies River (facility not stated)</v>
      </c>
    </row>
    <row r="144" customFormat="false" ht="15" hidden="false" customHeight="true" outlineLevel="0" collapsed="false">
      <c r="A144" s="10" t="s">
        <v>307</v>
      </c>
      <c r="B144" s="10" t="s">
        <v>682</v>
      </c>
      <c r="C144" s="10" t="str">
        <f aca="false">INDEX(Dim_Site!$B$2:$B$106,MATCH(B144,Dim_Site!$A$2:$A$106,0))</f>
        <v>Groote Schuur Hospital</v>
      </c>
    </row>
    <row r="145" customFormat="false" ht="15" hidden="false" customHeight="true" outlineLevel="0" collapsed="false">
      <c r="A145" s="10" t="s">
        <v>307</v>
      </c>
      <c r="B145" s="10" t="s">
        <v>719</v>
      </c>
      <c r="C145" s="10" t="str">
        <f aca="false">INDEX(Dim_Site!$B$2:$B$106,MATCH(B145,Dim_Site!$A$2:$A$106,0))</f>
        <v>Pinelands (facility not stated)</v>
      </c>
    </row>
    <row r="146" customFormat="false" ht="15" hidden="false" customHeight="true" outlineLevel="0" collapsed="false">
      <c r="A146" s="10" t="s">
        <v>307</v>
      </c>
      <c r="B146" s="10" t="s">
        <v>686</v>
      </c>
      <c r="C146" s="10" t="str">
        <f aca="false">INDEX(Dim_Site!$B$2:$B$106,MATCH(B146,Dim_Site!$A$2:$A$106,0))</f>
        <v>Mowbray Maternity Hospital</v>
      </c>
    </row>
    <row r="147" customFormat="false" ht="15" hidden="false" customHeight="true" outlineLevel="0" collapsed="false">
      <c r="A147" s="10" t="s">
        <v>307</v>
      </c>
      <c r="B147" s="10" t="s">
        <v>687</v>
      </c>
      <c r="C147" s="10" t="str">
        <f aca="false">INDEX(Dim_Site!$B$2:$B$106,MATCH(B147,Dim_Site!$A$2:$A$106,0))</f>
        <v>Red Cross War Memorial Children's Hospital</v>
      </c>
    </row>
    <row r="148" customFormat="false" ht="15" hidden="false" customHeight="true" outlineLevel="0" collapsed="false">
      <c r="A148" s="10" t="s">
        <v>311</v>
      </c>
      <c r="B148" s="10" t="s">
        <v>681</v>
      </c>
      <c r="C148" s="10" t="str">
        <f aca="false">INDEX(Dim_Site!$B$2:$B$106,MATCH(B148,Dim_Site!$A$2:$A$106,0))</f>
        <v>Khayelitsha District Hospital</v>
      </c>
    </row>
    <row r="149" customFormat="false" ht="15" hidden="false" customHeight="true" outlineLevel="0" collapsed="false">
      <c r="A149" s="10" t="s">
        <v>315</v>
      </c>
      <c r="B149" s="10" t="s">
        <v>720</v>
      </c>
      <c r="C149" s="10" t="str">
        <f aca="false">INDEX(Dim_Site!$B$2:$B$106,MATCH(B149,Dim_Site!$A$2:$A$106,0))</f>
        <v>Kraaifontein (facility not stated)</v>
      </c>
    </row>
    <row r="150" customFormat="false" ht="15" hidden="false" customHeight="true" outlineLevel="0" collapsed="false">
      <c r="A150" s="10" t="s">
        <v>315</v>
      </c>
      <c r="B150" s="10" t="s">
        <v>649</v>
      </c>
      <c r="C150" s="10" t="str">
        <f aca="false">INDEX(Dim_Site!$B$2:$B$106,MATCH(B150,Dim_Site!$A$2:$A$106,0))</f>
        <v>Tygerberg Hospital</v>
      </c>
    </row>
    <row r="151" customFormat="false" ht="15" hidden="false" customHeight="true" outlineLevel="0" collapsed="false">
      <c r="A151" s="10" t="s">
        <v>319</v>
      </c>
      <c r="B151" s="10" t="s">
        <v>680</v>
      </c>
      <c r="C151" s="10" t="str">
        <f aca="false">INDEX(Dim_Site!$B$2:$B$106,MATCH(B151,Dim_Site!$A$2:$A$106,0))</f>
        <v>Eerste River Hospital</v>
      </c>
    </row>
    <row r="152" customFormat="false" ht="15" hidden="false" customHeight="true" outlineLevel="0" collapsed="false">
      <c r="A152" s="10" t="s">
        <v>324</v>
      </c>
      <c r="B152" s="10" t="s">
        <v>652</v>
      </c>
      <c r="C152" s="10" t="str">
        <f aca="false">INDEX(Dim_Site!$B$2:$B$106,MATCH(B152,Dim_Site!$A$2:$A$106,0))</f>
        <v>Mitchells Plain (facility not stated)</v>
      </c>
    </row>
    <row r="153" customFormat="false" ht="15" hidden="false" customHeight="true" outlineLevel="0" collapsed="false">
      <c r="A153" s="10" t="s">
        <v>328</v>
      </c>
      <c r="B153" s="10" t="s">
        <v>667</v>
      </c>
      <c r="C153" s="10" t="str">
        <f aca="false">INDEX(Dim_Site!$B$2:$B$106,MATCH(B153,Dim_Site!$A$2:$A$106,0))</f>
        <v>Gugulethu (facility not stated)</v>
      </c>
    </row>
    <row r="154" customFormat="false" ht="15" hidden="false" customHeight="true" outlineLevel="0" collapsed="false">
      <c r="A154" s="10" t="s">
        <v>328</v>
      </c>
      <c r="B154" s="10" t="s">
        <v>713</v>
      </c>
      <c r="C154" s="10" t="str">
        <f aca="false">INDEX(Dim_Site!$B$2:$B$106,MATCH(B154,Dim_Site!$A$2:$A$106,0))</f>
        <v>Elsies River (facility not stated)</v>
      </c>
    </row>
    <row r="155" customFormat="false" ht="15" hidden="false" customHeight="true" outlineLevel="0" collapsed="false">
      <c r="A155" s="10" t="s">
        <v>333</v>
      </c>
      <c r="B155" s="10" t="s">
        <v>682</v>
      </c>
      <c r="C155" s="10" t="str">
        <f aca="false">INDEX(Dim_Site!$B$2:$B$106,MATCH(B155,Dim_Site!$A$2:$A$106,0))</f>
        <v>Groote Schuur Hospital</v>
      </c>
    </row>
    <row r="156" customFormat="false" ht="15" hidden="false" customHeight="true" outlineLevel="0" collapsed="false">
      <c r="A156" s="10" t="s">
        <v>333</v>
      </c>
      <c r="B156" s="10" t="s">
        <v>719</v>
      </c>
      <c r="C156" s="10" t="str">
        <f aca="false">INDEX(Dim_Site!$B$2:$B$106,MATCH(B156,Dim_Site!$A$2:$A$106,0))</f>
        <v>Pinelands (facility not stated)</v>
      </c>
    </row>
    <row r="157" customFormat="false" ht="15" hidden="false" customHeight="true" outlineLevel="0" collapsed="false">
      <c r="A157" s="10" t="s">
        <v>333</v>
      </c>
      <c r="B157" s="10" t="s">
        <v>686</v>
      </c>
      <c r="C157" s="10" t="str">
        <f aca="false">INDEX(Dim_Site!$B$2:$B$106,MATCH(B157,Dim_Site!$A$2:$A$106,0))</f>
        <v>Mowbray Maternity Hospital</v>
      </c>
    </row>
    <row r="158" customFormat="false" ht="15" hidden="false" customHeight="true" outlineLevel="0" collapsed="false">
      <c r="A158" s="10" t="s">
        <v>333</v>
      </c>
      <c r="B158" s="10" t="s">
        <v>687</v>
      </c>
      <c r="C158" s="10" t="str">
        <f aca="false">INDEX(Dim_Site!$B$2:$B$106,MATCH(B158,Dim_Site!$A$2:$A$106,0))</f>
        <v>Red Cross War Memorial Children's Hospital</v>
      </c>
    </row>
    <row r="159" customFormat="false" ht="15" hidden="false" customHeight="true" outlineLevel="0" collapsed="false">
      <c r="A159" s="10" t="s">
        <v>337</v>
      </c>
      <c r="B159" s="10" t="s">
        <v>681</v>
      </c>
      <c r="C159" s="10" t="str">
        <f aca="false">INDEX(Dim_Site!$B$2:$B$106,MATCH(B159,Dim_Site!$A$2:$A$106,0))</f>
        <v>Khayelitsha District Hospital</v>
      </c>
    </row>
    <row r="160" customFormat="false" ht="15" hidden="false" customHeight="true" outlineLevel="0" collapsed="false">
      <c r="A160" s="10" t="s">
        <v>340</v>
      </c>
      <c r="B160" s="10" t="s">
        <v>720</v>
      </c>
      <c r="C160" s="10" t="str">
        <f aca="false">INDEX(Dim_Site!$B$2:$B$106,MATCH(B160,Dim_Site!$A$2:$A$106,0))</f>
        <v>Kraaifontein (facility not stated)</v>
      </c>
    </row>
    <row r="161" customFormat="false" ht="15" hidden="false" customHeight="true" outlineLevel="0" collapsed="false">
      <c r="A161" s="10" t="s">
        <v>340</v>
      </c>
      <c r="B161" s="10" t="s">
        <v>649</v>
      </c>
      <c r="C161" s="10" t="str">
        <f aca="false">INDEX(Dim_Site!$B$2:$B$106,MATCH(B161,Dim_Site!$A$2:$A$106,0))</f>
        <v>Tygerberg Hospital</v>
      </c>
    </row>
    <row r="162" customFormat="false" ht="15" hidden="false" customHeight="true" outlineLevel="0" collapsed="false">
      <c r="A162" s="10" t="s">
        <v>343</v>
      </c>
      <c r="B162" s="10" t="s">
        <v>680</v>
      </c>
      <c r="C162" s="10" t="str">
        <f aca="false">INDEX(Dim_Site!$B$2:$B$106,MATCH(B162,Dim_Site!$A$2:$A$106,0))</f>
        <v>Eerste River Hospital</v>
      </c>
    </row>
    <row r="163" customFormat="false" ht="15" hidden="false" customHeight="true" outlineLevel="0" collapsed="false">
      <c r="A163" s="10" t="s">
        <v>346</v>
      </c>
      <c r="B163" s="10" t="s">
        <v>652</v>
      </c>
      <c r="C163" s="10" t="str">
        <f aca="false">INDEX(Dim_Site!$B$2:$B$106,MATCH(B163,Dim_Site!$A$2:$A$106,0))</f>
        <v>Mitchells Plain (facility not stated)</v>
      </c>
    </row>
    <row r="164" customFormat="false" ht="15" hidden="false" customHeight="true" outlineLevel="0" collapsed="false">
      <c r="A164" s="10" t="s">
        <v>349</v>
      </c>
      <c r="B164" s="10" t="s">
        <v>650</v>
      </c>
      <c r="C164" s="10" t="str">
        <f aca="false">INDEX(Dim_Site!$B$2:$B$106,MATCH(B164,Dim_Site!$A$2:$A$106,0))</f>
        <v>Karl Bremer Hospital</v>
      </c>
    </row>
    <row r="165" customFormat="false" ht="15" hidden="false" customHeight="true" outlineLevel="0" collapsed="false">
      <c r="A165" s="10" t="s">
        <v>349</v>
      </c>
      <c r="B165" s="10" t="s">
        <v>649</v>
      </c>
      <c r="C165" s="10" t="str">
        <f aca="false">INDEX(Dim_Site!$B$2:$B$106,MATCH(B165,Dim_Site!$A$2:$A$106,0))</f>
        <v>Tygerberg Hospital</v>
      </c>
    </row>
    <row r="166" customFormat="false" ht="15" hidden="false" customHeight="true" outlineLevel="0" collapsed="false">
      <c r="A166" s="10" t="s">
        <v>354</v>
      </c>
      <c r="B166" s="10" t="s">
        <v>714</v>
      </c>
      <c r="C166" s="10" t="str">
        <f aca="false">INDEX(Dim_Site!$B$2:$B$106,MATCH(B166,Dim_Site!$A$2:$A$106,0))</f>
        <v>Khayelitsha (facility not stated)</v>
      </c>
    </row>
    <row r="167" customFormat="false" ht="15" hidden="false" customHeight="true" outlineLevel="0" collapsed="false">
      <c r="A167" s="10" t="s">
        <v>354</v>
      </c>
      <c r="B167" s="10" t="s">
        <v>652</v>
      </c>
      <c r="C167" s="10" t="str">
        <f aca="false">INDEX(Dim_Site!$B$2:$B$106,MATCH(B167,Dim_Site!$A$2:$A$106,0))</f>
        <v>Mitchells Plain (facility not stated)</v>
      </c>
    </row>
    <row r="168" customFormat="false" ht="15" hidden="false" customHeight="true" outlineLevel="0" collapsed="false">
      <c r="A168" s="10" t="s">
        <v>356</v>
      </c>
      <c r="B168" s="10" t="s">
        <v>707</v>
      </c>
      <c r="C168" s="10" t="str">
        <f aca="false">INDEX(Dim_Site!$B$2:$B$106,MATCH(B168,Dim_Site!$A$2:$A$106,0))</f>
        <v>Stellenbosch Hospital</v>
      </c>
    </row>
    <row r="169" customFormat="false" ht="15" hidden="false" customHeight="true" outlineLevel="0" collapsed="false">
      <c r="A169" s="10" t="s">
        <v>357</v>
      </c>
      <c r="B169" s="10" t="s">
        <v>652</v>
      </c>
      <c r="C169" s="10" t="str">
        <f aca="false">INDEX(Dim_Site!$B$2:$B$106,MATCH(B169,Dim_Site!$A$2:$A$106,0))</f>
        <v>Mitchells Plain (facility not stated)</v>
      </c>
    </row>
    <row r="170" customFormat="false" ht="15" hidden="false" customHeight="true" outlineLevel="0" collapsed="false">
      <c r="A170" s="10" t="s">
        <v>357</v>
      </c>
      <c r="B170" s="10" t="s">
        <v>653</v>
      </c>
      <c r="C170" s="10" t="str">
        <f aca="false">INDEX(Dim_Site!$B$2:$B$106,MATCH(B170,Dim_Site!$A$2:$A$106,0))</f>
        <v>Michael Mapongwana CDC</v>
      </c>
    </row>
    <row r="171" customFormat="false" ht="15" hidden="false" customHeight="true" outlineLevel="0" collapsed="false">
      <c r="A171" s="10" t="s">
        <v>357</v>
      </c>
      <c r="B171" s="10" t="s">
        <v>654</v>
      </c>
      <c r="C171" s="10" t="str">
        <f aca="false">INDEX(Dim_Site!$B$2:$B$106,MATCH(B171,Dim_Site!$A$2:$A$106,0))</f>
        <v>Site B, Khayelitsha CDC</v>
      </c>
    </row>
    <row r="172" customFormat="false" ht="15" hidden="false" customHeight="true" outlineLevel="0" collapsed="false">
      <c r="A172" s="10" t="s">
        <v>357</v>
      </c>
      <c r="B172" s="10" t="s">
        <v>655</v>
      </c>
      <c r="C172" s="10" t="str">
        <f aca="false">INDEX(Dim_Site!$B$2:$B$106,MATCH(B172,Dim_Site!$A$2:$A$106,0))</f>
        <v>Kuyasa Clinic (Khayelitsha)</v>
      </c>
    </row>
    <row r="173" customFormat="false" ht="15" hidden="false" customHeight="true" outlineLevel="0" collapsed="false">
      <c r="A173" s="10" t="s">
        <v>357</v>
      </c>
      <c r="B173" s="10" t="s">
        <v>656</v>
      </c>
      <c r="C173" s="10" t="str">
        <f aca="false">INDEX(Dim_Site!$B$2:$B$106,MATCH(B173,Dim_Site!$A$2:$A$106,0))</f>
        <v>Nolungile CDC</v>
      </c>
    </row>
    <row r="174" customFormat="false" ht="15" hidden="false" customHeight="true" outlineLevel="0" collapsed="false">
      <c r="A174" s="10" t="s">
        <v>357</v>
      </c>
      <c r="B174" s="10" t="s">
        <v>658</v>
      </c>
      <c r="C174" s="10" t="str">
        <f aca="false">INDEX(Dim_Site!$B$2:$B$106,MATCH(B174,Dim_Site!$A$2:$A$106,0))</f>
        <v>Lentegeur Clinic</v>
      </c>
    </row>
    <row r="175" customFormat="false" ht="15" hidden="false" customHeight="true" outlineLevel="0" collapsed="false">
      <c r="A175" s="10" t="s">
        <v>360</v>
      </c>
      <c r="B175" s="10" t="s">
        <v>664</v>
      </c>
      <c r="C175" s="10" t="str">
        <f aca="false">INDEX(Dim_Site!$B$2:$B$106,MATCH(B175,Dim_Site!$A$2:$A$106,0))</f>
        <v>Langa CDC</v>
      </c>
    </row>
    <row r="176" customFormat="false" ht="15" hidden="false" customHeight="true" outlineLevel="0" collapsed="false">
      <c r="A176" s="10" t="s">
        <v>360</v>
      </c>
      <c r="B176" s="10" t="s">
        <v>663</v>
      </c>
      <c r="C176" s="10" t="str">
        <f aca="false">INDEX(Dim_Site!$B$2:$B$106,MATCH(B176,Dim_Site!$A$2:$A$106,0))</f>
        <v>Vanguard CHC</v>
      </c>
    </row>
    <row r="177" customFormat="false" ht="15" hidden="false" customHeight="true" outlineLevel="0" collapsed="false">
      <c r="A177" s="10" t="s">
        <v>360</v>
      </c>
      <c r="B177" s="10" t="s">
        <v>665</v>
      </c>
      <c r="C177" s="10" t="str">
        <f aca="false">INDEX(Dim_Site!$B$2:$B$106,MATCH(B177,Dim_Site!$A$2:$A$106,0))</f>
        <v>Landsdowne Clinic</v>
      </c>
    </row>
    <row r="178" customFormat="false" ht="15" hidden="false" customHeight="true" outlineLevel="0" collapsed="false">
      <c r="A178" s="10" t="s">
        <v>360</v>
      </c>
      <c r="B178" s="10" t="s">
        <v>660</v>
      </c>
      <c r="C178" s="10" t="str">
        <f aca="false">INDEX(Dim_Site!$B$2:$B$106,MATCH(B178,Dim_Site!$A$2:$A$106,0))</f>
        <v>Retreat CHC</v>
      </c>
    </row>
    <row r="179" customFormat="false" ht="15" hidden="false" customHeight="true" outlineLevel="0" collapsed="false">
      <c r="A179" s="10" t="s">
        <v>360</v>
      </c>
      <c r="B179" s="10" t="s">
        <v>661</v>
      </c>
      <c r="C179" s="10" t="str">
        <f aca="false">INDEX(Dim_Site!$B$2:$B$106,MATCH(B179,Dim_Site!$A$2:$A$106,0))</f>
        <v>Lady Michaelis CDC</v>
      </c>
    </row>
    <row r="180" customFormat="false" ht="15" hidden="false" customHeight="true" outlineLevel="0" collapsed="false">
      <c r="A180" s="10" t="s">
        <v>362</v>
      </c>
      <c r="B180" s="10" t="s">
        <v>673</v>
      </c>
      <c r="C180" s="10" t="str">
        <f aca="false">INDEX(Dim_Site!$B$2:$B$106,MATCH(B180,Dim_Site!$A$2:$A$106,0))</f>
        <v>St Vincent CDC</v>
      </c>
    </row>
    <row r="181" customFormat="false" ht="15" hidden="false" customHeight="true" outlineLevel="0" collapsed="false">
      <c r="A181" s="10" t="s">
        <v>362</v>
      </c>
      <c r="B181" s="10" t="s">
        <v>669</v>
      </c>
      <c r="C181" s="10" t="str">
        <f aca="false">INDEX(Dim_Site!$B$2:$B$106,MATCH(B181,Dim_Site!$A$2:$A$106,0))</f>
        <v>Parow CDC</v>
      </c>
    </row>
    <row r="182" customFormat="false" ht="15" hidden="false" customHeight="true" outlineLevel="0" collapsed="false">
      <c r="A182" s="10" t="s">
        <v>362</v>
      </c>
      <c r="B182" s="10" t="s">
        <v>672</v>
      </c>
      <c r="C182" s="10" t="str">
        <f aca="false">INDEX(Dim_Site!$B$2:$B$106,MATCH(B182,Dim_Site!$A$2:$A$106,0))</f>
        <v>Ravensmead CDC</v>
      </c>
    </row>
    <row r="183" customFormat="false" ht="15" hidden="false" customHeight="true" outlineLevel="0" collapsed="false">
      <c r="A183" s="10" t="s">
        <v>364</v>
      </c>
      <c r="B183" s="10" t="s">
        <v>700</v>
      </c>
      <c r="C183" s="10" t="str">
        <f aca="false">INDEX(Dim_Site!$B$2:$B$106,MATCH(B183,Dim_Site!$A$2:$A$106,0))</f>
        <v>Mitchells Plain MOU</v>
      </c>
    </row>
    <row r="184" customFormat="false" ht="15" hidden="false" customHeight="true" outlineLevel="0" collapsed="false">
      <c r="A184" s="10" t="s">
        <v>364</v>
      </c>
      <c r="B184" s="10" t="s">
        <v>721</v>
      </c>
      <c r="C184" s="10" t="str">
        <f aca="false">INDEX(Dim_Site!$B$2:$B$106,MATCH(B184,Dim_Site!$A$2:$A$106,0))</f>
        <v>Michael Mapongwana CHC</v>
      </c>
    </row>
    <row r="185" customFormat="false" ht="15" hidden="false" customHeight="true" outlineLevel="0" collapsed="false">
      <c r="A185" s="10" t="s">
        <v>364</v>
      </c>
      <c r="B185" s="10" t="s">
        <v>704</v>
      </c>
      <c r="C185" s="10" t="str">
        <f aca="false">INDEX(Dim_Site!$B$2:$B$106,MATCH(B185,Dim_Site!$A$2:$A$106,0))</f>
        <v>Site B, Khayelitsha MOU</v>
      </c>
    </row>
    <row r="186" customFormat="false" ht="15" hidden="false" customHeight="true" outlineLevel="0" collapsed="false">
      <c r="A186" s="10" t="s">
        <v>364</v>
      </c>
      <c r="B186" s="10" t="s">
        <v>657</v>
      </c>
      <c r="C186" s="10" t="str">
        <f aca="false">INDEX(Dim_Site!$B$2:$B$106,MATCH(B186,Dim_Site!$A$2:$A$106,0))</f>
        <v>Rocklands Clinic</v>
      </c>
    </row>
    <row r="187" customFormat="false" ht="15" hidden="false" customHeight="true" outlineLevel="0" collapsed="false">
      <c r="A187" s="10" t="s">
        <v>364</v>
      </c>
      <c r="B187" s="10" t="s">
        <v>658</v>
      </c>
      <c r="C187" s="10" t="str">
        <f aca="false">INDEX(Dim_Site!$B$2:$B$106,MATCH(B187,Dim_Site!$A$2:$A$106,0))</f>
        <v>Lentegeur Clinic</v>
      </c>
    </row>
    <row r="188" customFormat="false" ht="15" hidden="false" customHeight="true" outlineLevel="0" collapsed="false">
      <c r="A188" s="10" t="s">
        <v>369</v>
      </c>
      <c r="B188" s="10" t="s">
        <v>692</v>
      </c>
      <c r="C188" s="10" t="str">
        <f aca="false">INDEX(Dim_Site!$B$2:$B$106,MATCH(B188,Dim_Site!$A$2:$A$106,0))</f>
        <v>Fairmead CPOA</v>
      </c>
    </row>
    <row r="189" customFormat="false" ht="15" hidden="false" customHeight="true" outlineLevel="0" collapsed="false">
      <c r="A189" s="10" t="s">
        <v>369</v>
      </c>
      <c r="B189" s="10" t="s">
        <v>693</v>
      </c>
      <c r="C189" s="10" t="str">
        <f aca="false">INDEX(Dim_Site!$B$2:$B$106,MATCH(B189,Dim_Site!$A$2:$A$106,0))</f>
        <v>Anchusa CPOA</v>
      </c>
    </row>
    <row r="190" customFormat="false" ht="15" hidden="false" customHeight="true" outlineLevel="0" collapsed="false">
      <c r="A190" s="10" t="s">
        <v>369</v>
      </c>
      <c r="B190" s="10" t="s">
        <v>694</v>
      </c>
      <c r="C190" s="10" t="str">
        <f aca="false">INDEX(Dim_Site!$B$2:$B$106,MATCH(B190,Dim_Site!$A$2:$A$106,0))</f>
        <v>Avondrust CPOA</v>
      </c>
    </row>
    <row r="191" customFormat="false" ht="15" hidden="false" customHeight="true" outlineLevel="0" collapsed="false">
      <c r="A191" s="10" t="s">
        <v>369</v>
      </c>
      <c r="B191" s="10" t="s">
        <v>697</v>
      </c>
      <c r="C191" s="10" t="str">
        <f aca="false">INDEX(Dim_Site!$B$2:$B$106,MATCH(B191,Dim_Site!$A$2:$A$106,0))</f>
        <v>Lotus River CPOA</v>
      </c>
    </row>
    <row r="192" customFormat="false" ht="15" hidden="false" customHeight="true" outlineLevel="0" collapsed="false">
      <c r="A192" s="10" t="s">
        <v>369</v>
      </c>
      <c r="B192" s="10" t="s">
        <v>698</v>
      </c>
      <c r="C192" s="10" t="str">
        <f aca="false">INDEX(Dim_Site!$B$2:$B$106,MATCH(B192,Dim_Site!$A$2:$A$106,0))</f>
        <v>Retreat MOU</v>
      </c>
    </row>
    <row r="193" customFormat="false" ht="15" hidden="false" customHeight="true" outlineLevel="0" collapsed="false">
      <c r="A193" s="10" t="s">
        <v>371</v>
      </c>
      <c r="B193" s="10" t="s">
        <v>663</v>
      </c>
      <c r="C193" s="10" t="str">
        <f aca="false">INDEX(Dim_Site!$B$2:$B$106,MATCH(B193,Dim_Site!$A$2:$A$106,0))</f>
        <v>Vanguard CHC</v>
      </c>
    </row>
    <row r="194" customFormat="false" ht="15" hidden="false" customHeight="true" outlineLevel="0" collapsed="false">
      <c r="A194" s="10" t="s">
        <v>371</v>
      </c>
      <c r="B194" s="10" t="s">
        <v>722</v>
      </c>
      <c r="C194" s="10" t="str">
        <f aca="false">INDEX(Dim_Site!$B$2:$B$106,MATCH(B194,Dim_Site!$A$2:$A$106,0))</f>
        <v>Elsies River MOU</v>
      </c>
    </row>
    <row r="195" customFormat="false" ht="15" hidden="false" customHeight="true" outlineLevel="0" collapsed="false">
      <c r="A195" s="10" t="s">
        <v>371</v>
      </c>
      <c r="B195" s="10" t="s">
        <v>665</v>
      </c>
      <c r="C195" s="10" t="str">
        <f aca="false">INDEX(Dim_Site!$B$2:$B$106,MATCH(B195,Dim_Site!$A$2:$A$106,0))</f>
        <v>Landsdowne Clinic</v>
      </c>
    </row>
    <row r="196" customFormat="false" ht="15" hidden="false" customHeight="true" outlineLevel="0" collapsed="false">
      <c r="A196" s="10" t="s">
        <v>371</v>
      </c>
      <c r="B196" s="10" t="s">
        <v>723</v>
      </c>
      <c r="C196" s="10" t="str">
        <f aca="false">INDEX(Dim_Site!$B$2:$B$106,MATCH(B196,Dim_Site!$A$2:$A$106,0))</f>
        <v>Nyanga CHC</v>
      </c>
    </row>
    <row r="197" customFormat="false" ht="15" hidden="false" customHeight="true" outlineLevel="0" collapsed="false">
      <c r="A197" s="10" t="s">
        <v>371</v>
      </c>
      <c r="B197" s="10" t="s">
        <v>695</v>
      </c>
      <c r="C197" s="10" t="str">
        <f aca="false">INDEX(Dim_Site!$B$2:$B$106,MATCH(B197,Dim_Site!$A$2:$A$106,0))</f>
        <v>Gugulethu MOU</v>
      </c>
    </row>
    <row r="198" customFormat="false" ht="15" hidden="false" customHeight="true" outlineLevel="0" collapsed="false">
      <c r="A198" s="10" t="s">
        <v>371</v>
      </c>
      <c r="B198" s="10" t="s">
        <v>696</v>
      </c>
      <c r="C198" s="10" t="str">
        <f aca="false">INDEX(Dim_Site!$B$2:$B$106,MATCH(B198,Dim_Site!$A$2:$A$106,0))</f>
        <v>Erica Place CPOA</v>
      </c>
    </row>
    <row r="199" customFormat="false" ht="15" hidden="false" customHeight="true" outlineLevel="0" collapsed="false">
      <c r="A199" s="10" t="s">
        <v>373</v>
      </c>
      <c r="B199" s="10" t="s">
        <v>724</v>
      </c>
      <c r="C199" s="10" t="str">
        <f aca="false">INDEX(Dim_Site!$B$2:$B$106,MATCH(B199,Dim_Site!$A$2:$A$106,0))</f>
        <v>Symphony Way CHC</v>
      </c>
    </row>
    <row r="200" customFormat="false" ht="15" hidden="false" customHeight="true" outlineLevel="0" collapsed="false">
      <c r="A200" s="10" t="s">
        <v>373</v>
      </c>
      <c r="B200" s="10" t="s">
        <v>725</v>
      </c>
      <c r="C200" s="10" t="str">
        <f aca="false">INDEX(Dim_Site!$B$2:$B$106,MATCH(B200,Dim_Site!$A$2:$A$106,0))</f>
        <v>Kasselsvlei CHC</v>
      </c>
    </row>
    <row r="201" customFormat="false" ht="15" hidden="false" customHeight="true" outlineLevel="0" collapsed="false">
      <c r="A201" s="10" t="s">
        <v>373</v>
      </c>
      <c r="B201" s="10" t="s">
        <v>717</v>
      </c>
      <c r="C201" s="10" t="str">
        <f aca="false">INDEX(Dim_Site!$B$2:$B$106,MATCH(B201,Dim_Site!$A$2:$A$106,0))</f>
        <v>Scottsdene Clinic</v>
      </c>
    </row>
    <row r="202" customFormat="false" ht="15" hidden="false" customHeight="true" outlineLevel="0" collapsed="false">
      <c r="A202" s="10" t="s">
        <v>373</v>
      </c>
      <c r="B202" s="10" t="s">
        <v>688</v>
      </c>
      <c r="C202" s="10" t="str">
        <f aca="false">INDEX(Dim_Site!$B$2:$B$106,MATCH(B202,Dim_Site!$A$2:$A$106,0))</f>
        <v>Kraaifontein CHC</v>
      </c>
    </row>
    <row r="203" customFormat="false" ht="15" hidden="false" customHeight="true" outlineLevel="0" collapsed="false">
      <c r="A203" s="10" t="s">
        <v>375</v>
      </c>
      <c r="B203" s="10" t="s">
        <v>726</v>
      </c>
      <c r="C203" s="10" t="str">
        <f aca="false">INDEX(Dim_Site!$B$2:$B$106,MATCH(B203,Dim_Site!$A$2:$A$106,0))</f>
        <v>Strand CHC</v>
      </c>
    </row>
    <row r="204" customFormat="false" ht="15" hidden="false" customHeight="true" outlineLevel="0" collapsed="false">
      <c r="A204" s="10" t="s">
        <v>375</v>
      </c>
      <c r="B204" s="10" t="s">
        <v>702</v>
      </c>
      <c r="C204" s="10" t="str">
        <f aca="false">INDEX(Dim_Site!$B$2:$B$106,MATCH(B204,Dim_Site!$A$2:$A$106,0))</f>
        <v>Macassar MOU</v>
      </c>
    </row>
    <row r="205" customFormat="false" ht="15" hidden="false" customHeight="true" outlineLevel="0" collapsed="false">
      <c r="A205" s="10" t="s">
        <v>375</v>
      </c>
      <c r="B205" s="10" t="s">
        <v>727</v>
      </c>
      <c r="C205" s="10" t="str">
        <f aca="false">INDEX(Dim_Site!$B$2:$B$106,MATCH(B205,Dim_Site!$A$2:$A$106,0))</f>
        <v>Gustrow CHC</v>
      </c>
    </row>
    <row r="206" customFormat="false" ht="15" hidden="false" customHeight="true" outlineLevel="0" collapsed="false">
      <c r="A206" s="10" t="s">
        <v>377</v>
      </c>
      <c r="B206" s="10" t="s">
        <v>708</v>
      </c>
      <c r="C206" s="10" t="str">
        <f aca="false">INDEX(Dim_Site!$B$2:$B$106,MATCH(B206,Dim_Site!$A$2:$A$106,0))</f>
        <v>CPT International Airport</v>
      </c>
    </row>
    <row r="207" customFormat="false" ht="15" hidden="false" customHeight="true" outlineLevel="0" collapsed="false">
      <c r="A207" s="10" t="s">
        <v>382</v>
      </c>
      <c r="B207" s="10" t="s">
        <v>682</v>
      </c>
      <c r="C207" s="10" t="str">
        <f aca="false">INDEX(Dim_Site!$B$2:$B$106,MATCH(B207,Dim_Site!$A$2:$A$106,0))</f>
        <v>Groote Schuur Hospital</v>
      </c>
    </row>
    <row r="208" customFormat="false" ht="15" hidden="false" customHeight="true" outlineLevel="0" collapsed="false">
      <c r="A208" s="10" t="s">
        <v>382</v>
      </c>
      <c r="B208" s="10" t="s">
        <v>687</v>
      </c>
      <c r="C208" s="10" t="str">
        <f aca="false">INDEX(Dim_Site!$B$2:$B$106,MATCH(B208,Dim_Site!$A$2:$A$106,0))</f>
        <v>Red Cross War Memorial Children's Hospital</v>
      </c>
    </row>
    <row r="209" customFormat="false" ht="15" hidden="false" customHeight="true" outlineLevel="0" collapsed="false">
      <c r="A209" s="10" t="s">
        <v>387</v>
      </c>
      <c r="B209" s="10" t="s">
        <v>687</v>
      </c>
      <c r="C209" s="10" t="str">
        <f aca="false">INDEX(Dim_Site!$B$2:$B$106,MATCH(B209,Dim_Site!$A$2:$A$106,0))</f>
        <v>Red Cross War Memorial Children's Hospital</v>
      </c>
    </row>
    <row r="210" customFormat="false" ht="15" hidden="false" customHeight="true" outlineLevel="0" collapsed="false">
      <c r="A210" s="10" t="s">
        <v>387</v>
      </c>
      <c r="B210" s="10" t="s">
        <v>682</v>
      </c>
      <c r="C210" s="10" t="str">
        <f aca="false">INDEX(Dim_Site!$B$2:$B$106,MATCH(B210,Dim_Site!$A$2:$A$106,0))</f>
        <v>Groote Schuur Hospital</v>
      </c>
    </row>
    <row r="211" customFormat="false" ht="15" hidden="false" customHeight="true" outlineLevel="0" collapsed="false">
      <c r="A211" s="10" t="s">
        <v>387</v>
      </c>
      <c r="B211" s="10" t="s">
        <v>728</v>
      </c>
      <c r="C211" s="10" t="str">
        <f aca="false">INDEX(Dim_Site!$B$2:$B$106,MATCH(B211,Dim_Site!$A$2:$A$106,0))</f>
        <v>Green Point CHC</v>
      </c>
    </row>
    <row r="212" customFormat="false" ht="15" hidden="false" customHeight="true" outlineLevel="0" collapsed="false">
      <c r="A212" s="10" t="s">
        <v>387</v>
      </c>
      <c r="B212" s="10" t="s">
        <v>691</v>
      </c>
      <c r="C212" s="10" t="str">
        <f aca="false">INDEX(Dim_Site!$B$2:$B$106,MATCH(B212,Dim_Site!$A$2:$A$106,0))</f>
        <v>Sea Point CPOA</v>
      </c>
    </row>
    <row r="213" customFormat="false" ht="15" hidden="false" customHeight="true" outlineLevel="0" collapsed="false">
      <c r="A213" s="10" t="s">
        <v>391</v>
      </c>
      <c r="B213" s="10" t="s">
        <v>707</v>
      </c>
      <c r="C213" s="10" t="str">
        <f aca="false">INDEX(Dim_Site!$B$2:$B$106,MATCH(B213,Dim_Site!$A$2:$A$106,0))</f>
        <v>Stellenbosch Hospital</v>
      </c>
    </row>
    <row r="214" customFormat="false" ht="15" hidden="false" customHeight="true" outlineLevel="0" collapsed="false">
      <c r="A214" s="10" t="s">
        <v>394</v>
      </c>
      <c r="B214" s="10" t="s">
        <v>649</v>
      </c>
      <c r="C214" s="10" t="str">
        <f aca="false">INDEX(Dim_Site!$B$2:$B$106,MATCH(B214,Dim_Site!$A$2:$A$106,0))</f>
        <v>Tygerberg Hospital</v>
      </c>
    </row>
    <row r="215" customFormat="false" ht="15" hidden="false" customHeight="true" outlineLevel="0" collapsed="false">
      <c r="A215" s="10" t="s">
        <v>394</v>
      </c>
      <c r="B215" s="10" t="s">
        <v>689</v>
      </c>
      <c r="C215" s="10" t="str">
        <f aca="false">INDEX(Dim_Site!$B$2:$B$106,MATCH(B215,Dim_Site!$A$2:$A$106,0))</f>
        <v>Pinelands Place CPOA</v>
      </c>
    </row>
    <row r="216" customFormat="false" ht="15" hidden="false" customHeight="true" outlineLevel="0" collapsed="false">
      <c r="A216" s="10" t="s">
        <v>394</v>
      </c>
      <c r="B216" s="10" t="s">
        <v>690</v>
      </c>
      <c r="C216" s="10" t="str">
        <f aca="false">INDEX(Dim_Site!$B$2:$B$106,MATCH(B216,Dim_Site!$A$2:$A$106,0))</f>
        <v>Manor Care CPOA</v>
      </c>
    </row>
    <row r="217" customFormat="false" ht="15" hidden="false" customHeight="true" outlineLevel="0" collapsed="false">
      <c r="A217" s="10" t="s">
        <v>397</v>
      </c>
      <c r="B217" s="10" t="s">
        <v>687</v>
      </c>
      <c r="C217" s="10" t="str">
        <f aca="false">INDEX(Dim_Site!$B$2:$B$106,MATCH(B217,Dim_Site!$A$2:$A$106,0))</f>
        <v>Red Cross War Memorial Children's Hospital</v>
      </c>
    </row>
    <row r="218" customFormat="false" ht="15" hidden="false" customHeight="true" outlineLevel="0" collapsed="false">
      <c r="A218" s="10" t="s">
        <v>397</v>
      </c>
      <c r="B218" s="10" t="s">
        <v>682</v>
      </c>
      <c r="C218" s="10" t="str">
        <f aca="false">INDEX(Dim_Site!$B$2:$B$106,MATCH(B218,Dim_Site!$A$2:$A$106,0))</f>
        <v>Groote Schuur Hospital</v>
      </c>
    </row>
    <row r="219" customFormat="false" ht="15" hidden="false" customHeight="true" outlineLevel="0" collapsed="false">
      <c r="A219" s="10" t="s">
        <v>401</v>
      </c>
      <c r="B219" s="10" t="s">
        <v>682</v>
      </c>
      <c r="C219" s="10" t="str">
        <f aca="false">INDEX(Dim_Site!$B$2:$B$106,MATCH(B219,Dim_Site!$A$2:$A$106,0))</f>
        <v>Groote Schuur Hospital</v>
      </c>
    </row>
    <row r="220" customFormat="false" ht="15" hidden="false" customHeight="true" outlineLevel="0" collapsed="false">
      <c r="A220" s="10" t="s">
        <v>411</v>
      </c>
      <c r="B220" s="10" t="s">
        <v>687</v>
      </c>
      <c r="C220" s="10" t="str">
        <f aca="false">INDEX(Dim_Site!$B$2:$B$106,MATCH(B220,Dim_Site!$A$2:$A$106,0))</f>
        <v>Red Cross War Memorial Children's Hospital</v>
      </c>
    </row>
    <row r="221" customFormat="false" ht="15" hidden="false" customHeight="true" outlineLevel="0" collapsed="false">
      <c r="A221" s="10" t="s">
        <v>415</v>
      </c>
      <c r="B221" s="10" t="s">
        <v>649</v>
      </c>
      <c r="C221" s="10" t="str">
        <f aca="false">INDEX(Dim_Site!$B$2:$B$106,MATCH(B221,Dim_Site!$A$2:$A$106,0))</f>
        <v>Tygerberg Hospital</v>
      </c>
    </row>
    <row r="222" customFormat="false" ht="15" hidden="false" customHeight="true" outlineLevel="0" collapsed="false">
      <c r="A222" s="10" t="s">
        <v>418</v>
      </c>
      <c r="B222" s="10" t="s">
        <v>650</v>
      </c>
      <c r="C222" s="10" t="str">
        <f aca="false">INDEX(Dim_Site!$B$2:$B$106,MATCH(B222,Dim_Site!$A$2:$A$106,0))</f>
        <v>Karl Bremer Hospital</v>
      </c>
    </row>
    <row r="223" customFormat="false" ht="15" hidden="false" customHeight="true" outlineLevel="0" collapsed="false">
      <c r="A223" s="10" t="s">
        <v>421</v>
      </c>
      <c r="B223" s="10" t="s">
        <v>686</v>
      </c>
      <c r="C223" s="10" t="str">
        <f aca="false">INDEX(Dim_Site!$B$2:$B$106,MATCH(B223,Dim_Site!$A$2:$A$106,0))</f>
        <v>Mowbray Maternity Hospital</v>
      </c>
    </row>
    <row r="224" customFormat="false" ht="15" hidden="false" customHeight="true" outlineLevel="0" collapsed="false">
      <c r="A224" s="10" t="s">
        <v>423</v>
      </c>
      <c r="B224" s="10" t="s">
        <v>681</v>
      </c>
      <c r="C224" s="10" t="str">
        <f aca="false">INDEX(Dim_Site!$B$2:$B$106,MATCH(B224,Dim_Site!$A$2:$A$106,0))</f>
        <v>Khayelitsha District Hospital</v>
      </c>
    </row>
    <row r="225" customFormat="false" ht="15" hidden="false" customHeight="true" outlineLevel="0" collapsed="false">
      <c r="A225" s="10" t="s">
        <v>426</v>
      </c>
      <c r="B225" s="10" t="s">
        <v>651</v>
      </c>
      <c r="C225" s="10" t="str">
        <f aca="false">INDEX(Dim_Site!$B$2:$B$106,MATCH(B225,Dim_Site!$A$2:$A$106,0))</f>
        <v>New Somerset Hospital</v>
      </c>
    </row>
    <row r="226" customFormat="false" ht="15" hidden="false" customHeight="true" outlineLevel="0" collapsed="false">
      <c r="A226" s="10" t="s">
        <v>430</v>
      </c>
      <c r="B226" s="10" t="s">
        <v>729</v>
      </c>
      <c r="C226" s="10" t="str">
        <f aca="false">INDEX(Dim_Site!$B$2:$B$106,MATCH(B226,Dim_Site!$A$2:$A$106,0))</f>
        <v>Elsies River CHC</v>
      </c>
    </row>
    <row r="227" customFormat="false" ht="15" hidden="false" customHeight="true" outlineLevel="0" collapsed="false">
      <c r="A227" s="10" t="s">
        <v>433</v>
      </c>
      <c r="B227" s="10" t="s">
        <v>688</v>
      </c>
      <c r="C227" s="10" t="str">
        <f aca="false">INDEX(Dim_Site!$B$2:$B$106,MATCH(B227,Dim_Site!$A$2:$A$106,0))</f>
        <v>Kraaifontein CHC</v>
      </c>
    </row>
    <row r="228" customFormat="false" ht="15" hidden="false" customHeight="true" outlineLevel="0" collapsed="false">
      <c r="A228" s="10" t="s">
        <v>436</v>
      </c>
      <c r="B228" s="10" t="s">
        <v>680</v>
      </c>
      <c r="C228" s="10" t="str">
        <f aca="false">INDEX(Dim_Site!$B$2:$B$106,MATCH(B228,Dim_Site!$A$2:$A$106,0))</f>
        <v>Eerste River Hospital</v>
      </c>
    </row>
    <row r="229" customFormat="false" ht="15" hidden="false" customHeight="true" outlineLevel="0" collapsed="false">
      <c r="A229" s="10" t="s">
        <v>439</v>
      </c>
      <c r="B229" s="10" t="s">
        <v>683</v>
      </c>
      <c r="C229" s="10" t="str">
        <f aca="false">INDEX(Dim_Site!$B$2:$B$106,MATCH(B229,Dim_Site!$A$2:$A$106,0))</f>
        <v>Mitchells Plain District Hospital</v>
      </c>
    </row>
    <row r="230" customFormat="false" ht="15" hidden="false" customHeight="true" outlineLevel="0" collapsed="false">
      <c r="A230" s="10" t="s">
        <v>441</v>
      </c>
      <c r="B230" s="10" t="s">
        <v>684</v>
      </c>
      <c r="C230" s="10" t="str">
        <f aca="false">INDEX(Dim_Site!$B$2:$B$106,MATCH(B230,Dim_Site!$A$2:$A$106,0))</f>
        <v>Pinelands Western EMS</v>
      </c>
    </row>
    <row r="231" customFormat="false" ht="15" hidden="false" customHeight="true" outlineLevel="0" collapsed="false">
      <c r="A231" s="10" t="s">
        <v>443</v>
      </c>
      <c r="B231" s="10" t="s">
        <v>730</v>
      </c>
      <c r="C231" s="10" t="str">
        <f aca="false">INDEX(Dim_Site!$B$2:$B$106,MATCH(B231,Dim_Site!$A$2:$A$106,0))</f>
        <v>Gugulethu CHC</v>
      </c>
    </row>
    <row r="232" customFormat="false" ht="15" hidden="false" customHeight="true" outlineLevel="0" collapsed="false">
      <c r="A232" s="10" t="s">
        <v>446</v>
      </c>
      <c r="B232" s="10" t="s">
        <v>731</v>
      </c>
      <c r="C232" s="10" t="str">
        <f aca="false">INDEX(Dim_Site!$B$2:$B$106,MATCH(B232,Dim_Site!$A$2:$A$106,0))</f>
        <v>Red Cross Air Mercy Services (CPT International)</v>
      </c>
    </row>
    <row r="233" customFormat="false" ht="15" hidden="false" customHeight="true" outlineLevel="0" collapsed="false">
      <c r="A233" s="10" t="s">
        <v>448</v>
      </c>
      <c r="B233" s="10" t="s">
        <v>682</v>
      </c>
      <c r="C233" s="10" t="str">
        <f aca="false">INDEX(Dim_Site!$B$2:$B$106,MATCH(B233,Dim_Site!$A$2:$A$106,0))</f>
        <v>Groote Schuur Hospital</v>
      </c>
    </row>
    <row r="234" customFormat="false" ht="15" hidden="false" customHeight="true" outlineLevel="0" collapsed="false">
      <c r="A234" s="10" t="s">
        <v>452</v>
      </c>
      <c r="B234" s="10" t="s">
        <v>649</v>
      </c>
      <c r="C234" s="10" t="str">
        <f aca="false">INDEX(Dim_Site!$B$2:$B$106,MATCH(B234,Dim_Site!$A$2:$A$106,0))</f>
        <v>Tygerberg Hospital</v>
      </c>
    </row>
    <row r="235" customFormat="false" ht="15" hidden="false" customHeight="true" outlineLevel="0" collapsed="false">
      <c r="A235" s="10" t="s">
        <v>455</v>
      </c>
      <c r="B235" s="10" t="s">
        <v>706</v>
      </c>
      <c r="C235" s="10" t="str">
        <f aca="false">INDEX(Dim_Site!$B$2:$B$106,MATCH(B235,Dim_Site!$A$2:$A$106,0))</f>
        <v>Paarl Hospital</v>
      </c>
    </row>
    <row r="236" customFormat="false" ht="15" hidden="false" customHeight="true" outlineLevel="0" collapsed="false">
      <c r="A236" s="10" t="s">
        <v>460</v>
      </c>
      <c r="B236" s="10" t="s">
        <v>683</v>
      </c>
      <c r="C236" s="10" t="str">
        <f aca="false">INDEX(Dim_Site!$B$2:$B$106,MATCH(B236,Dim_Site!$A$2:$A$106,0))</f>
        <v>Mitchells Plain District Hospital</v>
      </c>
    </row>
    <row r="237" customFormat="false" ht="15" hidden="false" customHeight="true" outlineLevel="0" collapsed="false">
      <c r="A237" s="10" t="s">
        <v>462</v>
      </c>
      <c r="B237" s="10" t="s">
        <v>650</v>
      </c>
      <c r="C237" s="10" t="str">
        <f aca="false">INDEX(Dim_Site!$B$2:$B$106,MATCH(B237,Dim_Site!$A$2:$A$106,0))</f>
        <v>Karl Bremer Hospital</v>
      </c>
    </row>
    <row r="238" customFormat="false" ht="15" hidden="false" customHeight="true" outlineLevel="0" collapsed="false">
      <c r="A238" s="10" t="s">
        <v>465</v>
      </c>
      <c r="B238" s="10" t="s">
        <v>651</v>
      </c>
      <c r="C238" s="10" t="str">
        <f aca="false">INDEX(Dim_Site!$B$2:$B$106,MATCH(B238,Dim_Site!$A$2:$A$106,0))</f>
        <v>New Somerset Hospital</v>
      </c>
    </row>
    <row r="239" customFormat="false" ht="15" hidden="false" customHeight="true" outlineLevel="0" collapsed="false">
      <c r="A239" s="10" t="s">
        <v>466</v>
      </c>
      <c r="B239" s="10" t="s">
        <v>681</v>
      </c>
      <c r="C239" s="10" t="str">
        <f aca="false">INDEX(Dim_Site!$B$2:$B$106,MATCH(B239,Dim_Site!$A$2:$A$106,0))</f>
        <v>Khayelitsha District Hospital</v>
      </c>
    </row>
    <row r="240" customFormat="false" ht="15" hidden="false" customHeight="true" outlineLevel="0" collapsed="false">
      <c r="A240" s="10" t="s">
        <v>470</v>
      </c>
      <c r="B240" s="10" t="s">
        <v>687</v>
      </c>
      <c r="C240" s="10" t="str">
        <f aca="false">INDEX(Dim_Site!$B$2:$B$106,MATCH(B240,Dim_Site!$A$2:$A$106,0))</f>
        <v>Red Cross War Memorial Children's Hospital</v>
      </c>
    </row>
    <row r="241" customFormat="false" ht="15" hidden="false" customHeight="true" outlineLevel="0" collapsed="false">
      <c r="A241" s="10" t="s">
        <v>471</v>
      </c>
      <c r="B241" s="10" t="s">
        <v>686</v>
      </c>
      <c r="C241" s="10" t="str">
        <f aca="false">INDEX(Dim_Site!$B$2:$B$106,MATCH(B241,Dim_Site!$A$2:$A$106,0))</f>
        <v>Mowbray Maternity Hospital</v>
      </c>
    </row>
    <row r="242" customFormat="false" ht="15" hidden="false" customHeight="true" outlineLevel="0" collapsed="false">
      <c r="A242" s="10" t="s">
        <v>473</v>
      </c>
      <c r="B242" s="10" t="s">
        <v>732</v>
      </c>
      <c r="C242" s="10" t="str">
        <f aca="false">INDEX(Dim_Site!$B$2:$B$106,MATCH(B242,Dim_Site!$A$2:$A$106,0))</f>
        <v>Kraaifontein Day Hospital</v>
      </c>
    </row>
    <row r="243" customFormat="false" ht="15" hidden="false" customHeight="true" outlineLevel="0" collapsed="false">
      <c r="A243" s="10" t="s">
        <v>477</v>
      </c>
      <c r="B243" s="10" t="s">
        <v>733</v>
      </c>
      <c r="C243" s="10" t="str">
        <f aca="false">INDEX(Dim_Site!$B$2:$B$106,MATCH(B243,Dim_Site!$A$2:$A$106,0))</f>
        <v>Delft CHC</v>
      </c>
    </row>
    <row r="244" customFormat="false" ht="15" hidden="false" customHeight="true" outlineLevel="0" collapsed="false">
      <c r="A244" s="10" t="s">
        <v>480</v>
      </c>
      <c r="B244" s="10" t="s">
        <v>674</v>
      </c>
      <c r="C244" s="10" t="str">
        <f aca="false">INDEX(Dim_Site!$B$2:$B$106,MATCH(B244,Dim_Site!$A$2:$A$106,0))</f>
        <v>Symphony Way CDC</v>
      </c>
    </row>
    <row r="245" customFormat="false" ht="15" hidden="false" customHeight="true" outlineLevel="0" collapsed="false">
      <c r="A245" s="10" t="s">
        <v>482</v>
      </c>
      <c r="B245" s="10" t="s">
        <v>649</v>
      </c>
      <c r="C245" s="10" t="str">
        <f aca="false">INDEX(Dim_Site!$B$2:$B$106,MATCH(B245,Dim_Site!$A$2:$A$106,0))</f>
        <v>Tygerberg Hospital</v>
      </c>
    </row>
    <row r="246" customFormat="false" ht="15" hidden="false" customHeight="true" outlineLevel="0" collapsed="false">
      <c r="A246" s="10" t="s">
        <v>485</v>
      </c>
      <c r="B246" s="10" t="s">
        <v>682</v>
      </c>
      <c r="C246" s="10" t="str">
        <f aca="false">INDEX(Dim_Site!$B$2:$B$106,MATCH(B246,Dim_Site!$A$2:$A$106,0))</f>
        <v>Groote Schuur Hospital</v>
      </c>
    </row>
    <row r="247" customFormat="false" ht="15" hidden="false" customHeight="true" outlineLevel="0" collapsed="false">
      <c r="A247" s="10" t="s">
        <v>486</v>
      </c>
      <c r="B247" s="10" t="s">
        <v>650</v>
      </c>
      <c r="C247" s="10" t="str">
        <f aca="false">INDEX(Dim_Site!$B$2:$B$106,MATCH(B247,Dim_Site!$A$2:$A$106,0))</f>
        <v>Karl Bremer Hospital</v>
      </c>
    </row>
    <row r="248" customFormat="false" ht="15" hidden="false" customHeight="true" outlineLevel="0" collapsed="false">
      <c r="A248" s="10" t="s">
        <v>487</v>
      </c>
      <c r="B248" s="10" t="s">
        <v>649</v>
      </c>
      <c r="C248" s="10" t="str">
        <f aca="false">INDEX(Dim_Site!$B$2:$B$106,MATCH(B248,Dim_Site!$A$2:$A$106,0))</f>
        <v>Tygerberg Hospital</v>
      </c>
    </row>
    <row r="249" customFormat="false" ht="15" hidden="false" customHeight="true" outlineLevel="0" collapsed="false">
      <c r="A249" s="10" t="s">
        <v>491</v>
      </c>
      <c r="B249" s="10" t="s">
        <v>682</v>
      </c>
      <c r="C249" s="10" t="str">
        <f aca="false">INDEX(Dim_Site!$B$2:$B$106,MATCH(B249,Dim_Site!$A$2:$A$106,0))</f>
        <v>Groote Schuur Hospital</v>
      </c>
    </row>
    <row r="250" customFormat="false" ht="15" hidden="false" customHeight="true" outlineLevel="0" collapsed="false">
      <c r="A250" s="10" t="s">
        <v>492</v>
      </c>
      <c r="B250" s="10" t="s">
        <v>650</v>
      </c>
      <c r="C250" s="10" t="str">
        <f aca="false">INDEX(Dim_Site!$B$2:$B$106,MATCH(B250,Dim_Site!$A$2:$A$106,0))</f>
        <v>Karl Bremer Hospital</v>
      </c>
    </row>
    <row r="251" customFormat="false" ht="15" hidden="false" customHeight="true" outlineLevel="0" collapsed="false">
      <c r="A251" s="10" t="s">
        <v>493</v>
      </c>
      <c r="B251" s="10" t="s">
        <v>734</v>
      </c>
      <c r="C251" s="10" t="str">
        <f aca="false">INDEX(Dim_Site!$B$2:$B$106,MATCH(B251,Dim_Site!$A$2:$A$106,0))</f>
        <v>Alexandra Hospital</v>
      </c>
    </row>
    <row r="252" customFormat="false" ht="15" hidden="false" customHeight="true" outlineLevel="0" collapsed="false">
      <c r="A252" s="10" t="s">
        <v>499</v>
      </c>
      <c r="B252" s="10" t="s">
        <v>693</v>
      </c>
      <c r="C252" s="10" t="str">
        <f aca="false">INDEX(Dim_Site!$B$2:$B$106,MATCH(B252,Dim_Site!$A$2:$A$106,0))</f>
        <v>Anchusa CPOA</v>
      </c>
    </row>
    <row r="253" customFormat="false" ht="15" hidden="false" customHeight="true" outlineLevel="0" collapsed="false">
      <c r="A253" s="10" t="s">
        <v>502</v>
      </c>
      <c r="B253" s="10" t="s">
        <v>694</v>
      </c>
      <c r="C253" s="10" t="str">
        <f aca="false">INDEX(Dim_Site!$B$2:$B$106,MATCH(B253,Dim_Site!$A$2:$A$106,0))</f>
        <v>Avondrust CPOA</v>
      </c>
    </row>
    <row r="254" customFormat="false" ht="15" hidden="false" customHeight="true" outlineLevel="0" collapsed="false">
      <c r="A254" s="10" t="s">
        <v>504</v>
      </c>
      <c r="B254" s="10" t="s">
        <v>735</v>
      </c>
      <c r="C254" s="10" t="str">
        <f aca="false">INDEX(Dim_Site!$B$2:$B$106,MATCH(B254,Dim_Site!$A$2:$A$106,0))</f>
        <v>Bishop Lavis CDC</v>
      </c>
    </row>
    <row r="255" customFormat="false" ht="15" hidden="false" customHeight="true" outlineLevel="0" collapsed="false">
      <c r="A255" s="10" t="s">
        <v>506</v>
      </c>
      <c r="B255" s="10" t="s">
        <v>736</v>
      </c>
      <c r="C255" s="10" t="str">
        <f aca="false">INDEX(Dim_Site!$B$2:$B$106,MATCH(B255,Dim_Site!$A$2:$A$106,0))</f>
        <v>Constantia Place CPOA</v>
      </c>
    </row>
    <row r="256" customFormat="false" ht="15" hidden="false" customHeight="true" outlineLevel="0" collapsed="false">
      <c r="A256" s="10" t="s">
        <v>508</v>
      </c>
      <c r="B256" s="10" t="s">
        <v>737</v>
      </c>
      <c r="C256" s="10" t="str">
        <f aca="false">INDEX(Dim_Site!$B$2:$B$106,MATCH(B256,Dim_Site!$A$2:$A$106,0))</f>
        <v>Delft CDC</v>
      </c>
    </row>
    <row r="257" customFormat="false" ht="15" hidden="false" customHeight="true" outlineLevel="0" collapsed="false">
      <c r="A257" s="10" t="s">
        <v>510</v>
      </c>
      <c r="B257" s="10" t="s">
        <v>670</v>
      </c>
      <c r="C257" s="10" t="str">
        <f aca="false">INDEX(Dim_Site!$B$2:$B$106,MATCH(B257,Dim_Site!$A$2:$A$106,0))</f>
        <v>Dirkie Uys (Goodwood) CDC</v>
      </c>
    </row>
    <row r="258" customFormat="false" ht="15" hidden="false" customHeight="true" outlineLevel="0" collapsed="false">
      <c r="A258" s="10" t="s">
        <v>513</v>
      </c>
      <c r="B258" s="10" t="s">
        <v>738</v>
      </c>
      <c r="C258" s="10" t="str">
        <f aca="false">INDEX(Dim_Site!$B$2:$B$106,MATCH(B258,Dim_Site!$A$2:$A$106,0))</f>
        <v>District 6 CDC</v>
      </c>
    </row>
    <row r="259" customFormat="false" ht="15" hidden="false" customHeight="true" outlineLevel="0" collapsed="false">
      <c r="A259" s="10" t="s">
        <v>516</v>
      </c>
      <c r="B259" s="10" t="s">
        <v>680</v>
      </c>
      <c r="C259" s="10" t="str">
        <f aca="false">INDEX(Dim_Site!$B$2:$B$106,MATCH(B259,Dim_Site!$A$2:$A$106,0))</f>
        <v>Eerste River Hospital</v>
      </c>
    </row>
    <row r="260" customFormat="false" ht="15" hidden="false" customHeight="true" outlineLevel="0" collapsed="false">
      <c r="A260" s="10" t="s">
        <v>517</v>
      </c>
      <c r="B260" s="10" t="s">
        <v>739</v>
      </c>
      <c r="C260" s="10" t="str">
        <f aca="false">INDEX(Dim_Site!$B$2:$B$106,MATCH(B260,Dim_Site!$A$2:$A$106,0))</f>
        <v>Elsies River CDC</v>
      </c>
    </row>
    <row r="261" customFormat="false" ht="15" hidden="false" customHeight="true" outlineLevel="0" collapsed="false">
      <c r="A261" s="10" t="s">
        <v>520</v>
      </c>
      <c r="B261" s="10" t="s">
        <v>740</v>
      </c>
      <c r="C261" s="10" t="str">
        <f aca="false">INDEX(Dim_Site!$B$2:$B$106,MATCH(B261,Dim_Site!$A$2:$A$106,0))</f>
        <v>Elsies River Clinic</v>
      </c>
    </row>
    <row r="262" customFormat="false" ht="15" hidden="false" customHeight="true" outlineLevel="0" collapsed="false">
      <c r="A262" s="10" t="s">
        <v>522</v>
      </c>
      <c r="B262" s="10" t="s">
        <v>696</v>
      </c>
      <c r="C262" s="10" t="str">
        <f aca="false">INDEX(Dim_Site!$B$2:$B$106,MATCH(B262,Dim_Site!$A$2:$A$106,0))</f>
        <v>Erica Place CPOA</v>
      </c>
    </row>
    <row r="263" customFormat="false" ht="15" hidden="false" customHeight="true" outlineLevel="0" collapsed="false">
      <c r="A263" s="10" t="s">
        <v>525</v>
      </c>
      <c r="B263" s="10" t="s">
        <v>692</v>
      </c>
      <c r="C263" s="10" t="str">
        <f aca="false">INDEX(Dim_Site!$B$2:$B$106,MATCH(B263,Dim_Site!$A$2:$A$106,0))</f>
        <v>Fairmead CPOA</v>
      </c>
    </row>
    <row r="264" customFormat="false" ht="15" hidden="false" customHeight="true" outlineLevel="0" collapsed="false">
      <c r="A264" s="10" t="s">
        <v>527</v>
      </c>
      <c r="B264" s="10" t="s">
        <v>682</v>
      </c>
      <c r="C264" s="10" t="str">
        <f aca="false">INDEX(Dim_Site!$B$2:$B$106,MATCH(B264,Dim_Site!$A$2:$A$106,0))</f>
        <v>Groote Schuur Hospital</v>
      </c>
    </row>
    <row r="265" customFormat="false" ht="15" hidden="false" customHeight="true" outlineLevel="0" collapsed="false">
      <c r="A265" s="10" t="s">
        <v>530</v>
      </c>
      <c r="B265" s="10" t="s">
        <v>741</v>
      </c>
      <c r="C265" s="10" t="str">
        <f aca="false">INDEX(Dim_Site!$B$2:$B$106,MATCH(B265,Dim_Site!$A$2:$A$106,0))</f>
        <v>Gugulethu CDC</v>
      </c>
    </row>
    <row r="266" customFormat="false" ht="15" hidden="false" customHeight="true" outlineLevel="0" collapsed="false">
      <c r="A266" s="10" t="s">
        <v>533</v>
      </c>
      <c r="B266" s="10" t="s">
        <v>742</v>
      </c>
      <c r="C266" s="10" t="str">
        <f aca="false">INDEX(Dim_Site!$B$2:$B$106,MATCH(B266,Dim_Site!$A$2:$A$106,0))</f>
        <v>Gugulethu Clinic</v>
      </c>
    </row>
    <row r="267" customFormat="false" ht="15" hidden="false" customHeight="true" outlineLevel="0" collapsed="false">
      <c r="A267" s="10" t="s">
        <v>535</v>
      </c>
      <c r="B267" s="10" t="s">
        <v>701</v>
      </c>
      <c r="C267" s="10" t="str">
        <f aca="false">INDEX(Dim_Site!$B$2:$B$106,MATCH(B267,Dim_Site!$A$2:$A$106,0))</f>
        <v>Helderberg Hospital</v>
      </c>
    </row>
    <row r="268" customFormat="false" ht="15" hidden="false" customHeight="true" outlineLevel="0" collapsed="false">
      <c r="A268" s="10" t="s">
        <v>538</v>
      </c>
      <c r="B268" s="10" t="s">
        <v>650</v>
      </c>
      <c r="C268" s="10" t="str">
        <f aca="false">INDEX(Dim_Site!$B$2:$B$106,MATCH(B268,Dim_Site!$A$2:$A$106,0))</f>
        <v>Karl Bremer Hospital</v>
      </c>
    </row>
    <row r="269" customFormat="false" ht="15" hidden="false" customHeight="true" outlineLevel="0" collapsed="false">
      <c r="A269" s="10" t="s">
        <v>540</v>
      </c>
      <c r="B269" s="10" t="s">
        <v>675</v>
      </c>
      <c r="C269" s="10" t="str">
        <f aca="false">INDEX(Dim_Site!$B$2:$B$106,MATCH(B269,Dim_Site!$A$2:$A$106,0))</f>
        <v>Kasselsvlei (Bellville South) CDC</v>
      </c>
    </row>
    <row r="270" customFormat="false" ht="15" hidden="false" customHeight="true" outlineLevel="0" collapsed="false">
      <c r="A270" s="10" t="s">
        <v>543</v>
      </c>
      <c r="B270" s="10" t="s">
        <v>681</v>
      </c>
      <c r="C270" s="10" t="str">
        <f aca="false">INDEX(Dim_Site!$B$2:$B$106,MATCH(B270,Dim_Site!$A$2:$A$106,0))</f>
        <v>Khayelitsha District Hospital</v>
      </c>
    </row>
    <row r="271" customFormat="false" ht="15" hidden="false" customHeight="true" outlineLevel="0" collapsed="false">
      <c r="A271" s="10" t="s">
        <v>545</v>
      </c>
      <c r="B271" s="10" t="s">
        <v>688</v>
      </c>
      <c r="C271" s="10" t="str">
        <f aca="false">INDEX(Dim_Site!$B$2:$B$106,MATCH(B271,Dim_Site!$A$2:$A$106,0))</f>
        <v>Kraaifontein CHC</v>
      </c>
    </row>
    <row r="272" customFormat="false" ht="15" hidden="false" customHeight="true" outlineLevel="0" collapsed="false">
      <c r="A272" s="10" t="s">
        <v>547</v>
      </c>
      <c r="B272" s="10" t="s">
        <v>655</v>
      </c>
      <c r="C272" s="10" t="str">
        <f aca="false">INDEX(Dim_Site!$B$2:$B$106,MATCH(B272,Dim_Site!$A$2:$A$106,0))</f>
        <v>Kuyasa Clinic (Khayelitsha)</v>
      </c>
    </row>
    <row r="273" customFormat="false" ht="15" hidden="false" customHeight="true" outlineLevel="0" collapsed="false">
      <c r="A273" s="10" t="s">
        <v>550</v>
      </c>
      <c r="B273" s="10" t="s">
        <v>743</v>
      </c>
      <c r="C273" s="10" t="str">
        <f aca="false">INDEX(Dim_Site!$B$2:$B$106,MATCH(B273,Dim_Site!$A$2:$A$106,0))</f>
        <v>Kylemore Clinic</v>
      </c>
    </row>
    <row r="274" customFormat="false" ht="15" hidden="false" customHeight="true" outlineLevel="0" collapsed="false">
      <c r="A274" s="10" t="s">
        <v>552</v>
      </c>
      <c r="B274" s="10" t="s">
        <v>661</v>
      </c>
      <c r="C274" s="10" t="str">
        <f aca="false">INDEX(Dim_Site!$B$2:$B$106,MATCH(B274,Dim_Site!$A$2:$A$106,0))</f>
        <v>Lady Michaelis CDC</v>
      </c>
    </row>
    <row r="275" customFormat="false" ht="15" hidden="false" customHeight="true" outlineLevel="0" collapsed="false">
      <c r="A275" s="10" t="s">
        <v>555</v>
      </c>
      <c r="B275" s="10" t="s">
        <v>664</v>
      </c>
      <c r="C275" s="10" t="str">
        <f aca="false">INDEX(Dim_Site!$B$2:$B$106,MATCH(B275,Dim_Site!$A$2:$A$106,0))</f>
        <v>Langa CDC</v>
      </c>
    </row>
    <row r="276" customFormat="false" ht="15" hidden="false" customHeight="true" outlineLevel="0" collapsed="false">
      <c r="A276" s="10" t="s">
        <v>558</v>
      </c>
      <c r="B276" s="10" t="s">
        <v>665</v>
      </c>
      <c r="C276" s="10" t="str">
        <f aca="false">INDEX(Dim_Site!$B$2:$B$106,MATCH(B276,Dim_Site!$A$2:$A$106,0))</f>
        <v>Landsdowne Clinic</v>
      </c>
    </row>
    <row r="277" customFormat="false" ht="15" hidden="false" customHeight="true" outlineLevel="0" collapsed="false">
      <c r="A277" s="10" t="s">
        <v>560</v>
      </c>
      <c r="B277" s="10" t="s">
        <v>658</v>
      </c>
      <c r="C277" s="10" t="str">
        <f aca="false">INDEX(Dim_Site!$B$2:$B$106,MATCH(B277,Dim_Site!$A$2:$A$106,0))</f>
        <v>Lentegeur Clinic</v>
      </c>
    </row>
    <row r="278" customFormat="false" ht="15" hidden="false" customHeight="true" outlineLevel="0" collapsed="false">
      <c r="A278" s="10" t="s">
        <v>563</v>
      </c>
      <c r="B278" s="10" t="s">
        <v>699</v>
      </c>
      <c r="C278" s="10" t="str">
        <f aca="false">INDEX(Dim_Site!$B$2:$B$106,MATCH(B278,Dim_Site!$A$2:$A$106,0))</f>
        <v>Lentegeur Hospital</v>
      </c>
    </row>
    <row r="279" customFormat="false" ht="15" hidden="false" customHeight="true" outlineLevel="0" collapsed="false">
      <c r="A279" s="10" t="s">
        <v>566</v>
      </c>
      <c r="B279" s="10" t="s">
        <v>744</v>
      </c>
      <c r="C279" s="10" t="str">
        <f aca="false">INDEX(Dim_Site!$B$2:$B$106,MATCH(B279,Dim_Site!$A$2:$A$106,0))</f>
        <v>Lotus River CDC</v>
      </c>
    </row>
    <row r="280" customFormat="false" ht="15" hidden="false" customHeight="true" outlineLevel="0" collapsed="false">
      <c r="A280" s="10" t="s">
        <v>569</v>
      </c>
      <c r="B280" s="10" t="s">
        <v>697</v>
      </c>
      <c r="C280" s="10" t="str">
        <f aca="false">INDEX(Dim_Site!$B$2:$B$106,MATCH(B280,Dim_Site!$A$2:$A$106,0))</f>
        <v>Lotus River CPOA</v>
      </c>
    </row>
    <row r="281" customFormat="false" ht="15" hidden="false" customHeight="true" outlineLevel="0" collapsed="false">
      <c r="A281" s="10" t="s">
        <v>571</v>
      </c>
      <c r="B281" s="10" t="s">
        <v>678</v>
      </c>
      <c r="C281" s="10" t="str">
        <f aca="false">INDEX(Dim_Site!$B$2:$B$106,MATCH(B281,Dim_Site!$A$2:$A$106,0))</f>
        <v>Macassar CHC</v>
      </c>
    </row>
    <row r="282" customFormat="false" ht="15" hidden="false" customHeight="true" outlineLevel="0" collapsed="false">
      <c r="A282" s="10" t="s">
        <v>574</v>
      </c>
      <c r="B282" s="10" t="s">
        <v>690</v>
      </c>
      <c r="C282" s="10" t="str">
        <f aca="false">INDEX(Dim_Site!$B$2:$B$106,MATCH(B282,Dim_Site!$A$2:$A$106,0))</f>
        <v>Manor Care CPOA</v>
      </c>
    </row>
    <row r="283" customFormat="false" ht="15" hidden="false" customHeight="true" outlineLevel="0" collapsed="false">
      <c r="A283" s="10" t="s">
        <v>577</v>
      </c>
      <c r="B283" s="10" t="s">
        <v>653</v>
      </c>
      <c r="C283" s="10" t="str">
        <f aca="false">INDEX(Dim_Site!$B$2:$B$106,MATCH(B283,Dim_Site!$A$2:$A$106,0))</f>
        <v>Michael Mapongwana CDC</v>
      </c>
    </row>
    <row r="284" customFormat="false" ht="15" hidden="false" customHeight="true" outlineLevel="0" collapsed="false">
      <c r="A284" s="10" t="s">
        <v>580</v>
      </c>
      <c r="B284" s="10" t="s">
        <v>745</v>
      </c>
      <c r="C284" s="10" t="str">
        <f aca="false">INDEX(Dim_Site!$B$2:$B$106,MATCH(B284,Dim_Site!$A$2:$A$106,0))</f>
        <v>Mitchells Plain CHC</v>
      </c>
    </row>
    <row r="285" customFormat="false" ht="15" hidden="false" customHeight="true" outlineLevel="0" collapsed="false">
      <c r="A285" s="10" t="s">
        <v>583</v>
      </c>
      <c r="B285" s="10" t="s">
        <v>683</v>
      </c>
      <c r="C285" s="10" t="str">
        <f aca="false">INDEX(Dim_Site!$B$2:$B$106,MATCH(B285,Dim_Site!$A$2:$A$106,0))</f>
        <v>Mitchells Plain District Hospital</v>
      </c>
    </row>
    <row r="286" customFormat="false" ht="15" hidden="false" customHeight="true" outlineLevel="0" collapsed="false">
      <c r="A286" s="10" t="s">
        <v>584</v>
      </c>
      <c r="B286" s="10" t="s">
        <v>686</v>
      </c>
      <c r="C286" s="10" t="str">
        <f aca="false">INDEX(Dim_Site!$B$2:$B$106,MATCH(B286,Dim_Site!$A$2:$A$106,0))</f>
        <v>Mowbray Maternity Hospital</v>
      </c>
    </row>
    <row r="287" customFormat="false" ht="15" hidden="false" customHeight="true" outlineLevel="0" collapsed="false">
      <c r="A287" s="10" t="s">
        <v>586</v>
      </c>
      <c r="B287" s="10" t="s">
        <v>651</v>
      </c>
      <c r="C287" s="10" t="str">
        <f aca="false">INDEX(Dim_Site!$B$2:$B$106,MATCH(B287,Dim_Site!$A$2:$A$106,0))</f>
        <v>New Somerset Hospital</v>
      </c>
    </row>
    <row r="288" customFormat="false" ht="15" hidden="false" customHeight="true" outlineLevel="0" collapsed="false">
      <c r="A288" s="10" t="s">
        <v>587</v>
      </c>
      <c r="B288" s="10" t="s">
        <v>656</v>
      </c>
      <c r="C288" s="10" t="str">
        <f aca="false">INDEX(Dim_Site!$B$2:$B$106,MATCH(B288,Dim_Site!$A$2:$A$106,0))</f>
        <v>Nolungile CDC</v>
      </c>
    </row>
    <row r="289" customFormat="false" ht="15" hidden="false" customHeight="true" outlineLevel="0" collapsed="false">
      <c r="A289" s="10" t="s">
        <v>589</v>
      </c>
      <c r="B289" s="10" t="s">
        <v>706</v>
      </c>
      <c r="C289" s="10" t="str">
        <f aca="false">INDEX(Dim_Site!$B$2:$B$106,MATCH(B289,Dim_Site!$A$2:$A$106,0))</f>
        <v>Paarl Hospital</v>
      </c>
    </row>
    <row r="290" customFormat="false" ht="15" hidden="false" customHeight="true" outlineLevel="0" collapsed="false">
      <c r="A290" s="10" t="s">
        <v>592</v>
      </c>
      <c r="B290" s="10" t="s">
        <v>669</v>
      </c>
      <c r="C290" s="10" t="str">
        <f aca="false">INDEX(Dim_Site!$B$2:$B$106,MATCH(B290,Dim_Site!$A$2:$A$106,0))</f>
        <v>Parow CDC</v>
      </c>
    </row>
    <row r="291" customFormat="false" ht="15" hidden="false" customHeight="true" outlineLevel="0" collapsed="false">
      <c r="A291" s="10" t="s">
        <v>595</v>
      </c>
      <c r="B291" s="10" t="s">
        <v>689</v>
      </c>
      <c r="C291" s="10" t="str">
        <f aca="false">INDEX(Dim_Site!$B$2:$B$106,MATCH(B291,Dim_Site!$A$2:$A$106,0))</f>
        <v>Pinelands Place CPOA</v>
      </c>
    </row>
    <row r="292" customFormat="false" ht="15" hidden="false" customHeight="true" outlineLevel="0" collapsed="false">
      <c r="A292" s="10" t="s">
        <v>597</v>
      </c>
      <c r="B292" s="10" t="s">
        <v>746</v>
      </c>
      <c r="C292" s="10" t="str">
        <f aca="false">INDEX(Dim_Site!$B$2:$B$106,MATCH(B292,Dim_Site!$A$2:$A$106,0))</f>
        <v>Railton Clinic</v>
      </c>
    </row>
    <row r="293" customFormat="false" ht="15" hidden="false" customHeight="true" outlineLevel="0" collapsed="false">
      <c r="A293" s="10" t="s">
        <v>599</v>
      </c>
      <c r="B293" s="10" t="s">
        <v>672</v>
      </c>
      <c r="C293" s="10" t="str">
        <f aca="false">INDEX(Dim_Site!$B$2:$B$106,MATCH(B293,Dim_Site!$A$2:$A$106,0))</f>
        <v>Ravensmead CDC</v>
      </c>
    </row>
    <row r="294" customFormat="false" ht="15" hidden="false" customHeight="true" outlineLevel="0" collapsed="false">
      <c r="A294" s="10" t="s">
        <v>601</v>
      </c>
      <c r="B294" s="10" t="s">
        <v>687</v>
      </c>
      <c r="C294" s="10" t="str">
        <f aca="false">INDEX(Dim_Site!$B$2:$B$106,MATCH(B294,Dim_Site!$A$2:$A$106,0))</f>
        <v>Red Cross War Memorial Children's Hospital</v>
      </c>
    </row>
    <row r="295" customFormat="false" ht="15" hidden="false" customHeight="true" outlineLevel="0" collapsed="false">
      <c r="A295" s="10" t="s">
        <v>602</v>
      </c>
      <c r="B295" s="10" t="s">
        <v>668</v>
      </c>
      <c r="C295" s="10" t="str">
        <f aca="false">INDEX(Dim_Site!$B$2:$B$106,MATCH(B295,Dim_Site!$A$2:$A$106,0))</f>
        <v>Reed Street CDC</v>
      </c>
    </row>
    <row r="296" customFormat="false" ht="15" hidden="false" customHeight="true" outlineLevel="0" collapsed="false">
      <c r="A296" s="10" t="s">
        <v>605</v>
      </c>
      <c r="B296" s="10" t="s">
        <v>660</v>
      </c>
      <c r="C296" s="10" t="str">
        <f aca="false">INDEX(Dim_Site!$B$2:$B$106,MATCH(B296,Dim_Site!$A$2:$A$106,0))</f>
        <v>Retreat CHC</v>
      </c>
    </row>
    <row r="297" customFormat="false" ht="15" hidden="false" customHeight="true" outlineLevel="0" collapsed="false">
      <c r="A297" s="10" t="s">
        <v>608</v>
      </c>
      <c r="B297" s="10" t="s">
        <v>747</v>
      </c>
      <c r="C297" s="10" t="str">
        <f aca="false">INDEX(Dim_Site!$B$2:$B$106,MATCH(B297,Dim_Site!$A$2:$A$106,0))</f>
        <v>Robbie Nurock CDC</v>
      </c>
    </row>
    <row r="298" customFormat="false" ht="15" hidden="false" customHeight="true" outlineLevel="0" collapsed="false">
      <c r="A298" s="10" t="s">
        <v>610</v>
      </c>
      <c r="B298" s="10" t="s">
        <v>657</v>
      </c>
      <c r="C298" s="10" t="str">
        <f aca="false">INDEX(Dim_Site!$B$2:$B$106,MATCH(B298,Dim_Site!$A$2:$A$106,0))</f>
        <v>Rocklands Clinic</v>
      </c>
    </row>
    <row r="299" customFormat="false" ht="15" hidden="false" customHeight="true" outlineLevel="0" collapsed="false">
      <c r="A299" s="10" t="s">
        <v>613</v>
      </c>
      <c r="B299" s="10" t="s">
        <v>671</v>
      </c>
      <c r="C299" s="10" t="str">
        <f aca="false">INDEX(Dim_Site!$B$2:$B$106,MATCH(B299,Dim_Site!$A$2:$A$106,0))</f>
        <v>Ruyterwacht CDC</v>
      </c>
    </row>
    <row r="300" customFormat="false" ht="15" hidden="false" customHeight="true" outlineLevel="0" collapsed="false">
      <c r="A300" s="10" t="s">
        <v>615</v>
      </c>
      <c r="B300" s="10" t="s">
        <v>676</v>
      </c>
      <c r="C300" s="10" t="str">
        <f aca="false">INDEX(Dim_Site!$B$2:$B$106,MATCH(B300,Dim_Site!$A$2:$A$106,0))</f>
        <v>Scottsdene CDC</v>
      </c>
    </row>
    <row r="301" customFormat="false" ht="15" hidden="false" customHeight="true" outlineLevel="0" collapsed="false">
      <c r="A301" s="10" t="s">
        <v>617</v>
      </c>
      <c r="B301" s="10" t="s">
        <v>691</v>
      </c>
      <c r="C301" s="10" t="str">
        <f aca="false">INDEX(Dim_Site!$B$2:$B$106,MATCH(B301,Dim_Site!$A$2:$A$106,0))</f>
        <v>Sea Point CPOA</v>
      </c>
    </row>
    <row r="302" customFormat="false" ht="15" hidden="false" customHeight="true" outlineLevel="0" collapsed="false">
      <c r="A302" s="10" t="s">
        <v>619</v>
      </c>
      <c r="B302" s="10" t="s">
        <v>654</v>
      </c>
      <c r="C302" s="10" t="str">
        <f aca="false">INDEX(Dim_Site!$B$2:$B$106,MATCH(B302,Dim_Site!$A$2:$A$106,0))</f>
        <v>Site B, Khayelitsha CDC</v>
      </c>
    </row>
    <row r="303" customFormat="false" ht="15" hidden="false" customHeight="true" outlineLevel="0" collapsed="false">
      <c r="A303" s="10" t="s">
        <v>621</v>
      </c>
      <c r="B303" s="10" t="s">
        <v>707</v>
      </c>
      <c r="C303" s="10" t="str">
        <f aca="false">INDEX(Dim_Site!$B$2:$B$106,MATCH(B303,Dim_Site!$A$2:$A$106,0))</f>
        <v>Stellenbosch Hospital</v>
      </c>
    </row>
    <row r="304" customFormat="false" ht="15" hidden="false" customHeight="true" outlineLevel="0" collapsed="false">
      <c r="A304" s="10" t="s">
        <v>625</v>
      </c>
      <c r="B304" s="10" t="s">
        <v>748</v>
      </c>
      <c r="C304" s="10" t="str">
        <f aca="false">INDEX(Dim_Site!$B$2:$B$106,MATCH(B304,Dim_Site!$A$2:$A$106,0))</f>
        <v>Stikland Hospital</v>
      </c>
    </row>
    <row r="305" customFormat="false" ht="15" hidden="false" customHeight="true" outlineLevel="0" collapsed="false">
      <c r="A305" s="10" t="s">
        <v>627</v>
      </c>
      <c r="B305" s="10" t="s">
        <v>677</v>
      </c>
      <c r="C305" s="10" t="str">
        <f aca="false">INDEX(Dim_Site!$B$2:$B$106,MATCH(B305,Dim_Site!$A$2:$A$106,0))</f>
        <v>Strand CDC</v>
      </c>
    </row>
    <row r="306" customFormat="false" ht="15" hidden="false" customHeight="true" outlineLevel="0" collapsed="false">
      <c r="A306" s="10" t="s">
        <v>629</v>
      </c>
      <c r="B306" s="10" t="s">
        <v>673</v>
      </c>
      <c r="C306" s="10" t="str">
        <f aca="false">INDEX(Dim_Site!$B$2:$B$106,MATCH(B306,Dim_Site!$A$2:$A$106,0))</f>
        <v>St Vincent CDC</v>
      </c>
    </row>
    <row r="307" customFormat="false" ht="15" hidden="false" customHeight="true" outlineLevel="0" collapsed="false">
      <c r="A307" s="10" t="s">
        <v>631</v>
      </c>
      <c r="B307" s="10" t="s">
        <v>674</v>
      </c>
      <c r="C307" s="10" t="str">
        <f aca="false">INDEX(Dim_Site!$B$2:$B$106,MATCH(B307,Dim_Site!$A$2:$A$106,0))</f>
        <v>Symphony Way CDC</v>
      </c>
    </row>
    <row r="308" customFormat="false" ht="15" hidden="false" customHeight="true" outlineLevel="0" collapsed="false">
      <c r="A308" s="10" t="s">
        <v>632</v>
      </c>
      <c r="B308" s="10" t="s">
        <v>749</v>
      </c>
      <c r="C308" s="10" t="str">
        <f aca="false">INDEX(Dim_Site!$B$2:$B$106,MATCH(B308,Dim_Site!$A$2:$A$106,0))</f>
        <v>TC Newman CDC</v>
      </c>
    </row>
    <row r="309" customFormat="false" ht="15" hidden="false" customHeight="true" outlineLevel="0" collapsed="false">
      <c r="A309" s="10" t="s">
        <v>634</v>
      </c>
      <c r="B309" s="10" t="s">
        <v>750</v>
      </c>
      <c r="C309" s="10" t="str">
        <f aca="false">INDEX(Dim_Site!$B$2:$B$106,MATCH(B309,Dim_Site!$A$2:$A$106,0))</f>
        <v>Thembalethu CDC</v>
      </c>
    </row>
    <row r="310" customFormat="false" ht="15" hidden="false" customHeight="true" outlineLevel="0" collapsed="false">
      <c r="A310" s="10" t="s">
        <v>636</v>
      </c>
      <c r="B310" s="10" t="s">
        <v>649</v>
      </c>
      <c r="C310" s="10" t="str">
        <f aca="false">INDEX(Dim_Site!$B$2:$B$106,MATCH(B310,Dim_Site!$A$2:$A$106,0))</f>
        <v>Tygerberg Hospital</v>
      </c>
    </row>
    <row r="311" customFormat="false" ht="15" hidden="false" customHeight="true" outlineLevel="0" collapsed="false">
      <c r="A311" s="10" t="s">
        <v>637</v>
      </c>
      <c r="B311" s="10" t="s">
        <v>751</v>
      </c>
      <c r="C311" s="10" t="str">
        <f aca="false">INDEX(Dim_Site!$B$2:$B$106,MATCH(B311,Dim_Site!$A$2:$A$106,0))</f>
        <v>Valkenberg Hospital</v>
      </c>
    </row>
    <row r="312" customFormat="false" ht="15" hidden="false" customHeight="true" outlineLevel="0" collapsed="false">
      <c r="A312" s="10" t="s">
        <v>639</v>
      </c>
      <c r="B312" s="10" t="s">
        <v>663</v>
      </c>
      <c r="C312" s="10" t="str">
        <f aca="false">INDEX(Dim_Site!$B$2:$B$106,MATCH(B312,Dim_Site!$A$2:$A$106,0))</f>
        <v>Vanguard CHC</v>
      </c>
    </row>
    <row r="313" customFormat="false" ht="15" hidden="false" customHeight="true" outlineLevel="0" collapsed="false">
      <c r="A313" s="10" t="s">
        <v>641</v>
      </c>
      <c r="B313" s="10" t="s">
        <v>711</v>
      </c>
      <c r="C313" s="10" t="str">
        <f aca="false">INDEX(Dim_Site!$B$2:$B$106,MATCH(B313,Dim_Site!$A$2:$A$106,0))</f>
        <v>Victoria Hospital</v>
      </c>
    </row>
    <row r="314" customFormat="false" ht="15" hidden="false" customHeight="true" outlineLevel="0" collapsed="false">
      <c r="A314" s="10" t="s">
        <v>643</v>
      </c>
      <c r="B314" s="10" t="s">
        <v>752</v>
      </c>
      <c r="C314" s="10" t="str">
        <f aca="false">INDEX(Dim_Site!$B$2:$B$106,MATCH(B314,Dim_Site!$A$2:$A$106,0))</f>
        <v>Western Cape Rehabilitation Centre</v>
      </c>
    </row>
  </sheetData>
  <autoFilter ref="A1:C3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0"/>
  </cols>
  <sheetData>
    <row r="1" customFormat="false" ht="23.25" hidden="false" customHeight="true" outlineLevel="0" collapsed="false">
      <c r="A1" s="9" t="s">
        <v>25</v>
      </c>
      <c r="B1" s="9" t="s">
        <v>753</v>
      </c>
      <c r="C1" s="9" t="s">
        <v>754</v>
      </c>
    </row>
    <row r="2" customFormat="false" ht="15" hidden="false" customHeight="true" outlineLevel="0" collapsed="false">
      <c r="A2" s="10" t="s">
        <v>53</v>
      </c>
      <c r="B2" s="11" t="n">
        <v>45383</v>
      </c>
      <c r="C2" s="10" t="s">
        <v>755</v>
      </c>
    </row>
    <row r="3" customFormat="false" ht="15" hidden="false" customHeight="true" outlineLevel="0" collapsed="false">
      <c r="A3" s="10" t="s">
        <v>66</v>
      </c>
      <c r="B3" s="11" t="n">
        <v>45423</v>
      </c>
      <c r="C3" s="10" t="s">
        <v>755</v>
      </c>
    </row>
    <row r="4" customFormat="false" ht="15" hidden="false" customHeight="true" outlineLevel="0" collapsed="false">
      <c r="A4" s="10" t="s">
        <v>71</v>
      </c>
      <c r="B4" s="11" t="n">
        <v>45384</v>
      </c>
      <c r="C4" s="10" t="s">
        <v>755</v>
      </c>
    </row>
    <row r="5" customFormat="false" ht="15" hidden="false" customHeight="true" outlineLevel="0" collapsed="false">
      <c r="A5" s="10" t="s">
        <v>71</v>
      </c>
      <c r="B5" s="11" t="n">
        <v>45385</v>
      </c>
      <c r="C5" s="10" t="s">
        <v>755</v>
      </c>
    </row>
    <row r="6" customFormat="false" ht="15" hidden="false" customHeight="true" outlineLevel="0" collapsed="false">
      <c r="A6" s="10" t="s">
        <v>71</v>
      </c>
      <c r="B6" s="11" t="n">
        <v>45386</v>
      </c>
      <c r="C6" s="10" t="s">
        <v>755</v>
      </c>
    </row>
    <row r="7" customFormat="false" ht="15" hidden="false" customHeight="true" outlineLevel="0" collapsed="false">
      <c r="A7" s="10" t="s">
        <v>71</v>
      </c>
      <c r="B7" s="11" t="n">
        <v>45387</v>
      </c>
      <c r="C7" s="10" t="s">
        <v>755</v>
      </c>
    </row>
    <row r="8" customFormat="false" ht="15" hidden="false" customHeight="true" outlineLevel="0" collapsed="false">
      <c r="A8" s="10" t="s">
        <v>71</v>
      </c>
      <c r="B8" s="11" t="n">
        <v>45390</v>
      </c>
      <c r="C8" s="10" t="s">
        <v>755</v>
      </c>
    </row>
    <row r="9" customFormat="false" ht="15" hidden="false" customHeight="true" outlineLevel="0" collapsed="false">
      <c r="A9" s="10" t="s">
        <v>71</v>
      </c>
      <c r="B9" s="11" t="n">
        <v>45391</v>
      </c>
      <c r="C9" s="10" t="s">
        <v>755</v>
      </c>
    </row>
    <row r="10" customFormat="false" ht="15" hidden="false" customHeight="true" outlineLevel="0" collapsed="false">
      <c r="A10" s="10" t="s">
        <v>71</v>
      </c>
      <c r="B10" s="11" t="n">
        <v>45392</v>
      </c>
      <c r="C10" s="10" t="s">
        <v>755</v>
      </c>
    </row>
    <row r="11" customFormat="false" ht="15" hidden="false" customHeight="true" outlineLevel="0" collapsed="false">
      <c r="A11" s="10" t="s">
        <v>71</v>
      </c>
      <c r="B11" s="11" t="n">
        <v>45393</v>
      </c>
      <c r="C11" s="10" t="s">
        <v>755</v>
      </c>
    </row>
    <row r="12" customFormat="false" ht="15" hidden="false" customHeight="true" outlineLevel="0" collapsed="false">
      <c r="A12" s="10" t="s">
        <v>71</v>
      </c>
      <c r="B12" s="11" t="n">
        <v>45394</v>
      </c>
      <c r="C12" s="10" t="s">
        <v>755</v>
      </c>
    </row>
    <row r="13" customFormat="false" ht="15" hidden="false" customHeight="true" outlineLevel="0" collapsed="false">
      <c r="A13" s="10" t="s">
        <v>80</v>
      </c>
      <c r="B13" s="11" t="n">
        <v>45384</v>
      </c>
      <c r="C13" s="10" t="s">
        <v>755</v>
      </c>
    </row>
    <row r="14" customFormat="false" ht="15" hidden="false" customHeight="true" outlineLevel="0" collapsed="false">
      <c r="A14" s="10" t="s">
        <v>80</v>
      </c>
      <c r="B14" s="11" t="n">
        <v>45385</v>
      </c>
      <c r="C14" s="10" t="s">
        <v>755</v>
      </c>
    </row>
    <row r="15" customFormat="false" ht="15" hidden="false" customHeight="true" outlineLevel="0" collapsed="false">
      <c r="A15" s="10" t="s">
        <v>80</v>
      </c>
      <c r="B15" s="11" t="n">
        <v>45386</v>
      </c>
      <c r="C15" s="10" t="s">
        <v>755</v>
      </c>
    </row>
    <row r="16" customFormat="false" ht="15" hidden="false" customHeight="true" outlineLevel="0" collapsed="false">
      <c r="A16" s="10" t="s">
        <v>80</v>
      </c>
      <c r="B16" s="11" t="n">
        <v>45387</v>
      </c>
      <c r="C16" s="10" t="s">
        <v>755</v>
      </c>
    </row>
    <row r="17" customFormat="false" ht="15" hidden="false" customHeight="true" outlineLevel="0" collapsed="false">
      <c r="A17" s="10" t="s">
        <v>80</v>
      </c>
      <c r="B17" s="11" t="n">
        <v>45390</v>
      </c>
      <c r="C17" s="10" t="s">
        <v>755</v>
      </c>
    </row>
    <row r="18" customFormat="false" ht="15" hidden="false" customHeight="true" outlineLevel="0" collapsed="false">
      <c r="A18" s="10" t="s">
        <v>80</v>
      </c>
      <c r="B18" s="11" t="n">
        <v>45391</v>
      </c>
      <c r="C18" s="10" t="s">
        <v>755</v>
      </c>
    </row>
    <row r="19" customFormat="false" ht="15" hidden="false" customHeight="true" outlineLevel="0" collapsed="false">
      <c r="A19" s="10" t="s">
        <v>80</v>
      </c>
      <c r="B19" s="11" t="n">
        <v>45392</v>
      </c>
      <c r="C19" s="10" t="s">
        <v>755</v>
      </c>
    </row>
    <row r="20" customFormat="false" ht="15" hidden="false" customHeight="true" outlineLevel="0" collapsed="false">
      <c r="A20" s="10" t="s">
        <v>80</v>
      </c>
      <c r="B20" s="11" t="n">
        <v>45393</v>
      </c>
      <c r="C20" s="10" t="s">
        <v>755</v>
      </c>
    </row>
    <row r="21" customFormat="false" ht="15" hidden="false" customHeight="true" outlineLevel="0" collapsed="false">
      <c r="A21" s="10" t="s">
        <v>80</v>
      </c>
      <c r="B21" s="11" t="n">
        <v>45394</v>
      </c>
      <c r="C21" s="10" t="s">
        <v>755</v>
      </c>
    </row>
    <row r="22" customFormat="false" ht="15" hidden="false" customHeight="true" outlineLevel="0" collapsed="false">
      <c r="A22" s="10" t="s">
        <v>80</v>
      </c>
      <c r="B22" s="11" t="n">
        <v>45397</v>
      </c>
      <c r="C22" s="10" t="s">
        <v>755</v>
      </c>
    </row>
    <row r="23" customFormat="false" ht="15" hidden="false" customHeight="true" outlineLevel="0" collapsed="false">
      <c r="A23" s="10" t="s">
        <v>80</v>
      </c>
      <c r="B23" s="11" t="n">
        <v>45398</v>
      </c>
      <c r="C23" s="10" t="s">
        <v>755</v>
      </c>
    </row>
    <row r="24" customFormat="false" ht="15" hidden="false" customHeight="true" outlineLevel="0" collapsed="false">
      <c r="A24" s="10" t="s">
        <v>80</v>
      </c>
      <c r="B24" s="11" t="n">
        <v>45399</v>
      </c>
      <c r="C24" s="10" t="s">
        <v>755</v>
      </c>
    </row>
    <row r="25" customFormat="false" ht="15" hidden="false" customHeight="true" outlineLevel="0" collapsed="false">
      <c r="A25" s="10" t="s">
        <v>80</v>
      </c>
      <c r="B25" s="11" t="n">
        <v>45400</v>
      </c>
      <c r="C25" s="10" t="s">
        <v>755</v>
      </c>
    </row>
    <row r="26" customFormat="false" ht="15" hidden="false" customHeight="true" outlineLevel="0" collapsed="false">
      <c r="A26" s="10" t="s">
        <v>80</v>
      </c>
      <c r="B26" s="11" t="n">
        <v>45401</v>
      </c>
      <c r="C26" s="10" t="s">
        <v>755</v>
      </c>
    </row>
    <row r="27" customFormat="false" ht="15" hidden="false" customHeight="true" outlineLevel="0" collapsed="false">
      <c r="A27" s="10" t="s">
        <v>80</v>
      </c>
      <c r="B27" s="11" t="n">
        <v>45404</v>
      </c>
      <c r="C27" s="10" t="s">
        <v>755</v>
      </c>
    </row>
    <row r="28" customFormat="false" ht="15" hidden="false" customHeight="true" outlineLevel="0" collapsed="false">
      <c r="A28" s="10" t="s">
        <v>80</v>
      </c>
      <c r="B28" s="11" t="n">
        <v>45405</v>
      </c>
      <c r="C28" s="10" t="s">
        <v>755</v>
      </c>
    </row>
    <row r="29" customFormat="false" ht="15" hidden="false" customHeight="true" outlineLevel="0" collapsed="false">
      <c r="A29" s="10" t="s">
        <v>80</v>
      </c>
      <c r="B29" s="11" t="n">
        <v>45406</v>
      </c>
      <c r="C29" s="10" t="s">
        <v>755</v>
      </c>
    </row>
    <row r="30" customFormat="false" ht="15" hidden="false" customHeight="true" outlineLevel="0" collapsed="false">
      <c r="A30" s="10" t="s">
        <v>80</v>
      </c>
      <c r="B30" s="11" t="n">
        <v>45407</v>
      </c>
      <c r="C30" s="10" t="s">
        <v>755</v>
      </c>
    </row>
    <row r="31" customFormat="false" ht="15" hidden="false" customHeight="true" outlineLevel="0" collapsed="false">
      <c r="A31" s="10" t="s">
        <v>80</v>
      </c>
      <c r="B31" s="11" t="n">
        <v>45408</v>
      </c>
      <c r="C31" s="10" t="s">
        <v>755</v>
      </c>
    </row>
    <row r="32" customFormat="false" ht="15" hidden="false" customHeight="true" outlineLevel="0" collapsed="false">
      <c r="A32" s="10" t="s">
        <v>80</v>
      </c>
      <c r="B32" s="11" t="n">
        <v>45411</v>
      </c>
      <c r="C32" s="10" t="s">
        <v>755</v>
      </c>
    </row>
    <row r="33" customFormat="false" ht="15" hidden="false" customHeight="true" outlineLevel="0" collapsed="false">
      <c r="A33" s="10" t="s">
        <v>80</v>
      </c>
      <c r="B33" s="11" t="n">
        <v>45412</v>
      </c>
      <c r="C33" s="10" t="s">
        <v>755</v>
      </c>
    </row>
    <row r="34" customFormat="false" ht="15" hidden="false" customHeight="true" outlineLevel="0" collapsed="false">
      <c r="A34" s="10" t="s">
        <v>80</v>
      </c>
      <c r="B34" s="11" t="n">
        <v>45414</v>
      </c>
      <c r="C34" s="10" t="s">
        <v>755</v>
      </c>
    </row>
    <row r="35" customFormat="false" ht="15" hidden="false" customHeight="true" outlineLevel="0" collapsed="false">
      <c r="A35" s="10" t="s">
        <v>80</v>
      </c>
      <c r="B35" s="11" t="n">
        <v>45415</v>
      </c>
      <c r="C35" s="10" t="s">
        <v>755</v>
      </c>
    </row>
    <row r="36" customFormat="false" ht="15" hidden="false" customHeight="true" outlineLevel="0" collapsed="false">
      <c r="A36" s="10" t="s">
        <v>80</v>
      </c>
      <c r="B36" s="11" t="n">
        <v>45418</v>
      </c>
      <c r="C36" s="10" t="s">
        <v>755</v>
      </c>
    </row>
    <row r="37" customFormat="false" ht="15" hidden="false" customHeight="true" outlineLevel="0" collapsed="false">
      <c r="A37" s="10" t="s">
        <v>80</v>
      </c>
      <c r="B37" s="11" t="n">
        <v>45419</v>
      </c>
      <c r="C37" s="10" t="s">
        <v>755</v>
      </c>
    </row>
    <row r="38" customFormat="false" ht="15" hidden="false" customHeight="true" outlineLevel="0" collapsed="false">
      <c r="A38" s="10" t="s">
        <v>80</v>
      </c>
      <c r="B38" s="11" t="n">
        <v>45420</v>
      </c>
      <c r="C38" s="10" t="s">
        <v>755</v>
      </c>
    </row>
    <row r="39" customFormat="false" ht="15" hidden="false" customHeight="true" outlineLevel="0" collapsed="false">
      <c r="A39" s="10" t="s">
        <v>80</v>
      </c>
      <c r="B39" s="11" t="n">
        <v>45421</v>
      </c>
      <c r="C39" s="10" t="s">
        <v>755</v>
      </c>
    </row>
    <row r="40" customFormat="false" ht="15" hidden="false" customHeight="true" outlineLevel="0" collapsed="false">
      <c r="A40" s="10" t="s">
        <v>80</v>
      </c>
      <c r="B40" s="11" t="n">
        <v>45422</v>
      </c>
      <c r="C40" s="10" t="s">
        <v>755</v>
      </c>
    </row>
    <row r="41" customFormat="false" ht="15" hidden="false" customHeight="true" outlineLevel="0" collapsed="false">
      <c r="A41" s="10" t="s">
        <v>85</v>
      </c>
      <c r="B41" s="11" t="n">
        <v>45384</v>
      </c>
      <c r="C41" s="10" t="s">
        <v>755</v>
      </c>
    </row>
    <row r="42" customFormat="false" ht="15" hidden="false" customHeight="true" outlineLevel="0" collapsed="false">
      <c r="A42" s="10" t="s">
        <v>85</v>
      </c>
      <c r="B42" s="11" t="n">
        <v>45385</v>
      </c>
      <c r="C42" s="10" t="s">
        <v>755</v>
      </c>
    </row>
    <row r="43" customFormat="false" ht="15" hidden="false" customHeight="true" outlineLevel="0" collapsed="false">
      <c r="A43" s="10" t="s">
        <v>85</v>
      </c>
      <c r="B43" s="11" t="n">
        <v>45386</v>
      </c>
      <c r="C43" s="10" t="s">
        <v>755</v>
      </c>
    </row>
    <row r="44" customFormat="false" ht="15" hidden="false" customHeight="true" outlineLevel="0" collapsed="false">
      <c r="A44" s="10" t="s">
        <v>85</v>
      </c>
      <c r="B44" s="11" t="n">
        <v>45387</v>
      </c>
      <c r="C44" s="10" t="s">
        <v>755</v>
      </c>
    </row>
    <row r="45" customFormat="false" ht="15" hidden="false" customHeight="true" outlineLevel="0" collapsed="false">
      <c r="A45" s="10" t="s">
        <v>85</v>
      </c>
      <c r="B45" s="11" t="n">
        <v>45390</v>
      </c>
      <c r="C45" s="10" t="s">
        <v>755</v>
      </c>
    </row>
    <row r="46" customFormat="false" ht="15" hidden="false" customHeight="true" outlineLevel="0" collapsed="false">
      <c r="A46" s="10" t="s">
        <v>85</v>
      </c>
      <c r="B46" s="11" t="n">
        <v>45391</v>
      </c>
      <c r="C46" s="10" t="s">
        <v>755</v>
      </c>
    </row>
    <row r="47" customFormat="false" ht="15" hidden="false" customHeight="true" outlineLevel="0" collapsed="false">
      <c r="A47" s="10" t="s">
        <v>85</v>
      </c>
      <c r="B47" s="11" t="n">
        <v>45392</v>
      </c>
      <c r="C47" s="10" t="s">
        <v>755</v>
      </c>
    </row>
    <row r="48" customFormat="false" ht="15" hidden="false" customHeight="true" outlineLevel="0" collapsed="false">
      <c r="A48" s="10" t="s">
        <v>85</v>
      </c>
      <c r="B48" s="11" t="n">
        <v>45393</v>
      </c>
      <c r="C48" s="10" t="s">
        <v>755</v>
      </c>
    </row>
    <row r="49" customFormat="false" ht="15" hidden="false" customHeight="true" outlineLevel="0" collapsed="false">
      <c r="A49" s="10" t="s">
        <v>85</v>
      </c>
      <c r="B49" s="11" t="n">
        <v>45394</v>
      </c>
      <c r="C49" s="10" t="s">
        <v>755</v>
      </c>
    </row>
    <row r="50" customFormat="false" ht="15" hidden="false" customHeight="true" outlineLevel="0" collapsed="false">
      <c r="A50" s="10" t="s">
        <v>85</v>
      </c>
      <c r="B50" s="11" t="n">
        <v>45397</v>
      </c>
      <c r="C50" s="10" t="s">
        <v>755</v>
      </c>
    </row>
    <row r="51" customFormat="false" ht="15" hidden="false" customHeight="true" outlineLevel="0" collapsed="false">
      <c r="A51" s="10" t="s">
        <v>85</v>
      </c>
      <c r="B51" s="11" t="n">
        <v>45398</v>
      </c>
      <c r="C51" s="10" t="s">
        <v>755</v>
      </c>
    </row>
    <row r="52" customFormat="false" ht="15" hidden="false" customHeight="true" outlineLevel="0" collapsed="false">
      <c r="A52" s="10" t="s">
        <v>85</v>
      </c>
      <c r="B52" s="11" t="n">
        <v>45399</v>
      </c>
      <c r="C52" s="10" t="s">
        <v>755</v>
      </c>
    </row>
    <row r="53" customFormat="false" ht="15" hidden="false" customHeight="true" outlineLevel="0" collapsed="false">
      <c r="A53" s="10" t="s">
        <v>85</v>
      </c>
      <c r="B53" s="11" t="n">
        <v>45400</v>
      </c>
      <c r="C53" s="10" t="s">
        <v>755</v>
      </c>
    </row>
    <row r="54" customFormat="false" ht="15" hidden="false" customHeight="true" outlineLevel="0" collapsed="false">
      <c r="A54" s="10" t="s">
        <v>85</v>
      </c>
      <c r="B54" s="11" t="n">
        <v>45401</v>
      </c>
      <c r="C54" s="10" t="s">
        <v>755</v>
      </c>
    </row>
    <row r="55" customFormat="false" ht="15" hidden="false" customHeight="true" outlineLevel="0" collapsed="false">
      <c r="A55" s="10" t="s">
        <v>85</v>
      </c>
      <c r="B55" s="11" t="n">
        <v>45404</v>
      </c>
      <c r="C55" s="10" t="s">
        <v>755</v>
      </c>
    </row>
    <row r="56" customFormat="false" ht="15" hidden="false" customHeight="true" outlineLevel="0" collapsed="false">
      <c r="A56" s="10" t="s">
        <v>85</v>
      </c>
      <c r="B56" s="11" t="n">
        <v>45405</v>
      </c>
      <c r="C56" s="10" t="s">
        <v>755</v>
      </c>
    </row>
    <row r="57" customFormat="false" ht="15" hidden="false" customHeight="true" outlineLevel="0" collapsed="false">
      <c r="A57" s="10" t="s">
        <v>85</v>
      </c>
      <c r="B57" s="11" t="n">
        <v>45406</v>
      </c>
      <c r="C57" s="10" t="s">
        <v>755</v>
      </c>
    </row>
    <row r="58" customFormat="false" ht="15" hidden="false" customHeight="true" outlineLevel="0" collapsed="false">
      <c r="A58" s="10" t="s">
        <v>85</v>
      </c>
      <c r="B58" s="11" t="n">
        <v>45407</v>
      </c>
      <c r="C58" s="10" t="s">
        <v>755</v>
      </c>
    </row>
    <row r="59" customFormat="false" ht="15" hidden="false" customHeight="true" outlineLevel="0" collapsed="false">
      <c r="A59" s="10" t="s">
        <v>85</v>
      </c>
      <c r="B59" s="11" t="n">
        <v>45408</v>
      </c>
      <c r="C59" s="10" t="s">
        <v>755</v>
      </c>
    </row>
    <row r="60" customFormat="false" ht="15" hidden="false" customHeight="true" outlineLevel="0" collapsed="false">
      <c r="A60" s="10" t="s">
        <v>85</v>
      </c>
      <c r="B60" s="11" t="n">
        <v>45411</v>
      </c>
      <c r="C60" s="10" t="s">
        <v>755</v>
      </c>
    </row>
    <row r="61" customFormat="false" ht="15" hidden="false" customHeight="true" outlineLevel="0" collapsed="false">
      <c r="A61" s="10" t="s">
        <v>85</v>
      </c>
      <c r="B61" s="11" t="n">
        <v>45412</v>
      </c>
      <c r="C61" s="10" t="s">
        <v>755</v>
      </c>
    </row>
    <row r="62" customFormat="false" ht="15" hidden="false" customHeight="true" outlineLevel="0" collapsed="false">
      <c r="A62" s="10" t="s">
        <v>85</v>
      </c>
      <c r="B62" s="11" t="n">
        <v>45414</v>
      </c>
      <c r="C62" s="10" t="s">
        <v>755</v>
      </c>
    </row>
    <row r="63" customFormat="false" ht="15" hidden="false" customHeight="true" outlineLevel="0" collapsed="false">
      <c r="A63" s="10" t="s">
        <v>85</v>
      </c>
      <c r="B63" s="11" t="n">
        <v>45415</v>
      </c>
      <c r="C63" s="10" t="s">
        <v>755</v>
      </c>
    </row>
    <row r="64" customFormat="false" ht="15" hidden="false" customHeight="true" outlineLevel="0" collapsed="false">
      <c r="A64" s="10" t="s">
        <v>85</v>
      </c>
      <c r="B64" s="11" t="n">
        <v>45418</v>
      </c>
      <c r="C64" s="10" t="s">
        <v>755</v>
      </c>
    </row>
    <row r="65" customFormat="false" ht="15" hidden="false" customHeight="true" outlineLevel="0" collapsed="false">
      <c r="A65" s="10" t="s">
        <v>85</v>
      </c>
      <c r="B65" s="11" t="n">
        <v>45419</v>
      </c>
      <c r="C65" s="10" t="s">
        <v>755</v>
      </c>
    </row>
    <row r="66" customFormat="false" ht="15" hidden="false" customHeight="true" outlineLevel="0" collapsed="false">
      <c r="A66" s="10" t="s">
        <v>85</v>
      </c>
      <c r="B66" s="11" t="n">
        <v>45420</v>
      </c>
      <c r="C66" s="10" t="s">
        <v>755</v>
      </c>
    </row>
    <row r="67" customFormat="false" ht="15" hidden="false" customHeight="true" outlineLevel="0" collapsed="false">
      <c r="A67" s="10" t="s">
        <v>85</v>
      </c>
      <c r="B67" s="11" t="n">
        <v>45421</v>
      </c>
      <c r="C67" s="10" t="s">
        <v>755</v>
      </c>
    </row>
    <row r="68" customFormat="false" ht="15" hidden="false" customHeight="true" outlineLevel="0" collapsed="false">
      <c r="A68" s="10" t="s">
        <v>85</v>
      </c>
      <c r="B68" s="11" t="n">
        <v>45422</v>
      </c>
      <c r="C68" s="10" t="s">
        <v>755</v>
      </c>
    </row>
    <row r="69" customFormat="false" ht="15" hidden="false" customHeight="true" outlineLevel="0" collapsed="false">
      <c r="A69" s="10" t="s">
        <v>89</v>
      </c>
      <c r="B69" s="11" t="n">
        <v>45384</v>
      </c>
      <c r="C69" s="10" t="s">
        <v>755</v>
      </c>
    </row>
    <row r="70" customFormat="false" ht="15" hidden="false" customHeight="true" outlineLevel="0" collapsed="false">
      <c r="A70" s="10" t="s">
        <v>89</v>
      </c>
      <c r="B70" s="11" t="n">
        <v>45385</v>
      </c>
      <c r="C70" s="10" t="s">
        <v>755</v>
      </c>
    </row>
    <row r="71" customFormat="false" ht="15" hidden="false" customHeight="true" outlineLevel="0" collapsed="false">
      <c r="A71" s="10" t="s">
        <v>89</v>
      </c>
      <c r="B71" s="11" t="n">
        <v>45386</v>
      </c>
      <c r="C71" s="10" t="s">
        <v>755</v>
      </c>
    </row>
    <row r="72" customFormat="false" ht="15" hidden="false" customHeight="true" outlineLevel="0" collapsed="false">
      <c r="A72" s="10" t="s">
        <v>89</v>
      </c>
      <c r="B72" s="11" t="n">
        <v>45387</v>
      </c>
      <c r="C72" s="10" t="s">
        <v>755</v>
      </c>
    </row>
    <row r="73" customFormat="false" ht="15" hidden="false" customHeight="true" outlineLevel="0" collapsed="false">
      <c r="A73" s="10" t="s">
        <v>89</v>
      </c>
      <c r="B73" s="11" t="n">
        <v>45390</v>
      </c>
      <c r="C73" s="10" t="s">
        <v>755</v>
      </c>
    </row>
    <row r="74" customFormat="false" ht="15" hidden="false" customHeight="true" outlineLevel="0" collapsed="false">
      <c r="A74" s="10" t="s">
        <v>89</v>
      </c>
      <c r="B74" s="11" t="n">
        <v>45391</v>
      </c>
      <c r="C74" s="10" t="s">
        <v>755</v>
      </c>
    </row>
    <row r="75" customFormat="false" ht="15" hidden="false" customHeight="true" outlineLevel="0" collapsed="false">
      <c r="A75" s="10" t="s">
        <v>89</v>
      </c>
      <c r="B75" s="11" t="n">
        <v>45392</v>
      </c>
      <c r="C75" s="10" t="s">
        <v>755</v>
      </c>
    </row>
    <row r="76" customFormat="false" ht="15" hidden="false" customHeight="true" outlineLevel="0" collapsed="false">
      <c r="A76" s="10" t="s">
        <v>89</v>
      </c>
      <c r="B76" s="11" t="n">
        <v>45393</v>
      </c>
      <c r="C76" s="10" t="s">
        <v>755</v>
      </c>
    </row>
    <row r="77" customFormat="false" ht="15" hidden="false" customHeight="true" outlineLevel="0" collapsed="false">
      <c r="A77" s="10" t="s">
        <v>89</v>
      </c>
      <c r="B77" s="11" t="n">
        <v>45394</v>
      </c>
      <c r="C77" s="10" t="s">
        <v>755</v>
      </c>
    </row>
    <row r="78" customFormat="false" ht="15" hidden="false" customHeight="true" outlineLevel="0" collapsed="false">
      <c r="A78" s="10" t="s">
        <v>89</v>
      </c>
      <c r="B78" s="11" t="n">
        <v>45397</v>
      </c>
      <c r="C78" s="10" t="s">
        <v>755</v>
      </c>
    </row>
    <row r="79" customFormat="false" ht="15" hidden="false" customHeight="true" outlineLevel="0" collapsed="false">
      <c r="A79" s="10" t="s">
        <v>89</v>
      </c>
      <c r="B79" s="11" t="n">
        <v>45398</v>
      </c>
      <c r="C79" s="10" t="s">
        <v>755</v>
      </c>
    </row>
    <row r="80" customFormat="false" ht="15" hidden="false" customHeight="true" outlineLevel="0" collapsed="false">
      <c r="A80" s="10" t="s">
        <v>89</v>
      </c>
      <c r="B80" s="11" t="n">
        <v>45399</v>
      </c>
      <c r="C80" s="10" t="s">
        <v>755</v>
      </c>
    </row>
    <row r="81" customFormat="false" ht="15" hidden="false" customHeight="true" outlineLevel="0" collapsed="false">
      <c r="A81" s="10" t="s">
        <v>89</v>
      </c>
      <c r="B81" s="11" t="n">
        <v>45400</v>
      </c>
      <c r="C81" s="10" t="s">
        <v>755</v>
      </c>
    </row>
    <row r="82" customFormat="false" ht="15" hidden="false" customHeight="true" outlineLevel="0" collapsed="false">
      <c r="A82" s="10" t="s">
        <v>89</v>
      </c>
      <c r="B82" s="11" t="n">
        <v>45401</v>
      </c>
      <c r="C82" s="10" t="s">
        <v>755</v>
      </c>
    </row>
    <row r="83" customFormat="false" ht="15" hidden="false" customHeight="true" outlineLevel="0" collapsed="false">
      <c r="A83" s="10" t="s">
        <v>89</v>
      </c>
      <c r="B83" s="11" t="n">
        <v>45404</v>
      </c>
      <c r="C83" s="10" t="s">
        <v>755</v>
      </c>
    </row>
    <row r="84" customFormat="false" ht="15" hidden="false" customHeight="true" outlineLevel="0" collapsed="false">
      <c r="A84" s="10" t="s">
        <v>89</v>
      </c>
      <c r="B84" s="11" t="n">
        <v>45405</v>
      </c>
      <c r="C84" s="10" t="s">
        <v>755</v>
      </c>
    </row>
    <row r="85" customFormat="false" ht="15" hidden="false" customHeight="true" outlineLevel="0" collapsed="false">
      <c r="A85" s="10" t="s">
        <v>89</v>
      </c>
      <c r="B85" s="11" t="n">
        <v>45406</v>
      </c>
      <c r="C85" s="10" t="s">
        <v>755</v>
      </c>
    </row>
    <row r="86" customFormat="false" ht="15" hidden="false" customHeight="true" outlineLevel="0" collapsed="false">
      <c r="A86" s="10" t="s">
        <v>89</v>
      </c>
      <c r="B86" s="11" t="n">
        <v>45407</v>
      </c>
      <c r="C86" s="10" t="s">
        <v>755</v>
      </c>
    </row>
    <row r="87" customFormat="false" ht="15" hidden="false" customHeight="true" outlineLevel="0" collapsed="false">
      <c r="A87" s="10" t="s">
        <v>89</v>
      </c>
      <c r="B87" s="11" t="n">
        <v>45408</v>
      </c>
      <c r="C87" s="10" t="s">
        <v>755</v>
      </c>
    </row>
    <row r="88" customFormat="false" ht="15" hidden="false" customHeight="true" outlineLevel="0" collapsed="false">
      <c r="A88" s="10" t="s">
        <v>93</v>
      </c>
      <c r="B88" s="11" t="n">
        <v>45384</v>
      </c>
      <c r="C88" s="10" t="s">
        <v>755</v>
      </c>
    </row>
    <row r="89" customFormat="false" ht="15" hidden="false" customHeight="true" outlineLevel="0" collapsed="false">
      <c r="A89" s="10" t="s">
        <v>93</v>
      </c>
      <c r="B89" s="11" t="n">
        <v>45385</v>
      </c>
      <c r="C89" s="10" t="s">
        <v>755</v>
      </c>
    </row>
    <row r="90" customFormat="false" ht="15" hidden="false" customHeight="true" outlineLevel="0" collapsed="false">
      <c r="A90" s="10" t="s">
        <v>93</v>
      </c>
      <c r="B90" s="11" t="n">
        <v>45386</v>
      </c>
      <c r="C90" s="10" t="s">
        <v>755</v>
      </c>
    </row>
    <row r="91" customFormat="false" ht="15" hidden="false" customHeight="true" outlineLevel="0" collapsed="false">
      <c r="A91" s="10" t="s">
        <v>93</v>
      </c>
      <c r="B91" s="11" t="n">
        <v>45387</v>
      </c>
      <c r="C91" s="10" t="s">
        <v>755</v>
      </c>
    </row>
    <row r="92" customFormat="false" ht="15" hidden="false" customHeight="true" outlineLevel="0" collapsed="false">
      <c r="A92" s="10" t="s">
        <v>93</v>
      </c>
      <c r="B92" s="11" t="n">
        <v>45390</v>
      </c>
      <c r="C92" s="10" t="s">
        <v>755</v>
      </c>
    </row>
    <row r="93" customFormat="false" ht="15" hidden="false" customHeight="true" outlineLevel="0" collapsed="false">
      <c r="A93" s="10" t="s">
        <v>93</v>
      </c>
      <c r="B93" s="11" t="n">
        <v>45391</v>
      </c>
      <c r="C93" s="10" t="s">
        <v>755</v>
      </c>
    </row>
    <row r="94" customFormat="false" ht="15" hidden="false" customHeight="true" outlineLevel="0" collapsed="false">
      <c r="A94" s="10" t="s">
        <v>93</v>
      </c>
      <c r="B94" s="11" t="n">
        <v>45392</v>
      </c>
      <c r="C94" s="10" t="s">
        <v>755</v>
      </c>
    </row>
    <row r="95" customFormat="false" ht="15" hidden="false" customHeight="true" outlineLevel="0" collapsed="false">
      <c r="A95" s="10" t="s">
        <v>93</v>
      </c>
      <c r="B95" s="11" t="n">
        <v>45393</v>
      </c>
      <c r="C95" s="10" t="s">
        <v>755</v>
      </c>
    </row>
    <row r="96" customFormat="false" ht="15" hidden="false" customHeight="true" outlineLevel="0" collapsed="false">
      <c r="A96" s="10" t="s">
        <v>93</v>
      </c>
      <c r="B96" s="11" t="n">
        <v>45394</v>
      </c>
      <c r="C96" s="10" t="s">
        <v>755</v>
      </c>
    </row>
    <row r="97" customFormat="false" ht="15" hidden="false" customHeight="true" outlineLevel="0" collapsed="false">
      <c r="A97" s="10" t="s">
        <v>93</v>
      </c>
      <c r="B97" s="11" t="n">
        <v>45411</v>
      </c>
      <c r="C97" s="10" t="s">
        <v>755</v>
      </c>
    </row>
    <row r="98" customFormat="false" ht="15" hidden="false" customHeight="true" outlineLevel="0" collapsed="false">
      <c r="A98" s="10" t="s">
        <v>93</v>
      </c>
      <c r="B98" s="11" t="n">
        <v>45412</v>
      </c>
      <c r="C98" s="10" t="s">
        <v>755</v>
      </c>
    </row>
    <row r="99" customFormat="false" ht="15" hidden="false" customHeight="true" outlineLevel="0" collapsed="false">
      <c r="A99" s="10" t="s">
        <v>93</v>
      </c>
      <c r="B99" s="11" t="n">
        <v>45414</v>
      </c>
      <c r="C99" s="10" t="s">
        <v>755</v>
      </c>
    </row>
    <row r="100" customFormat="false" ht="15" hidden="false" customHeight="true" outlineLevel="0" collapsed="false">
      <c r="A100" s="10" t="s">
        <v>93</v>
      </c>
      <c r="B100" s="11" t="n">
        <v>45415</v>
      </c>
      <c r="C100" s="10" t="s">
        <v>755</v>
      </c>
    </row>
    <row r="101" customFormat="false" ht="15" hidden="false" customHeight="true" outlineLevel="0" collapsed="false">
      <c r="A101" s="10" t="s">
        <v>93</v>
      </c>
      <c r="B101" s="11" t="n">
        <v>45418</v>
      </c>
      <c r="C101" s="10" t="s">
        <v>755</v>
      </c>
    </row>
    <row r="102" customFormat="false" ht="15" hidden="false" customHeight="true" outlineLevel="0" collapsed="false">
      <c r="A102" s="10" t="s">
        <v>93</v>
      </c>
      <c r="B102" s="11" t="n">
        <v>45419</v>
      </c>
      <c r="C102" s="10" t="s">
        <v>755</v>
      </c>
    </row>
    <row r="103" customFormat="false" ht="15" hidden="false" customHeight="true" outlineLevel="0" collapsed="false">
      <c r="A103" s="10" t="s">
        <v>93</v>
      </c>
      <c r="B103" s="11" t="n">
        <v>45420</v>
      </c>
      <c r="C103" s="10" t="s">
        <v>755</v>
      </c>
    </row>
    <row r="104" customFormat="false" ht="15" hidden="false" customHeight="true" outlineLevel="0" collapsed="false">
      <c r="A104" s="10" t="s">
        <v>93</v>
      </c>
      <c r="B104" s="11" t="n">
        <v>45421</v>
      </c>
      <c r="C104" s="10" t="s">
        <v>755</v>
      </c>
    </row>
    <row r="105" customFormat="false" ht="15" hidden="false" customHeight="true" outlineLevel="0" collapsed="false">
      <c r="A105" s="10" t="s">
        <v>93</v>
      </c>
      <c r="B105" s="11" t="n">
        <v>45422</v>
      </c>
      <c r="C105" s="10" t="s">
        <v>755</v>
      </c>
    </row>
    <row r="106" customFormat="false" ht="15" hidden="false" customHeight="true" outlineLevel="0" collapsed="false">
      <c r="A106" s="10" t="s">
        <v>97</v>
      </c>
      <c r="B106" s="11" t="n">
        <v>45384</v>
      </c>
      <c r="C106" s="10" t="s">
        <v>755</v>
      </c>
    </row>
    <row r="107" customFormat="false" ht="15" hidden="false" customHeight="true" outlineLevel="0" collapsed="false">
      <c r="A107" s="10" t="s">
        <v>97</v>
      </c>
      <c r="B107" s="11" t="n">
        <v>45385</v>
      </c>
      <c r="C107" s="10" t="s">
        <v>755</v>
      </c>
    </row>
    <row r="108" customFormat="false" ht="15" hidden="false" customHeight="true" outlineLevel="0" collapsed="false">
      <c r="A108" s="10" t="s">
        <v>97</v>
      </c>
      <c r="B108" s="11" t="n">
        <v>45386</v>
      </c>
      <c r="C108" s="10" t="s">
        <v>755</v>
      </c>
    </row>
    <row r="109" customFormat="false" ht="15" hidden="false" customHeight="true" outlineLevel="0" collapsed="false">
      <c r="A109" s="10" t="s">
        <v>97</v>
      </c>
      <c r="B109" s="11" t="n">
        <v>45387</v>
      </c>
      <c r="C109" s="10" t="s">
        <v>755</v>
      </c>
    </row>
    <row r="110" customFormat="false" ht="15" hidden="false" customHeight="true" outlineLevel="0" collapsed="false">
      <c r="A110" s="10" t="s">
        <v>97</v>
      </c>
      <c r="B110" s="11" t="n">
        <v>45390</v>
      </c>
      <c r="C110" s="10" t="s">
        <v>755</v>
      </c>
    </row>
    <row r="111" customFormat="false" ht="15" hidden="false" customHeight="true" outlineLevel="0" collapsed="false">
      <c r="A111" s="10" t="s">
        <v>97</v>
      </c>
      <c r="B111" s="11" t="n">
        <v>45391</v>
      </c>
      <c r="C111" s="10" t="s">
        <v>755</v>
      </c>
    </row>
    <row r="112" customFormat="false" ht="15" hidden="false" customHeight="true" outlineLevel="0" collapsed="false">
      <c r="A112" s="10" t="s">
        <v>97</v>
      </c>
      <c r="B112" s="11" t="n">
        <v>45392</v>
      </c>
      <c r="C112" s="10" t="s">
        <v>755</v>
      </c>
    </row>
    <row r="113" customFormat="false" ht="15" hidden="false" customHeight="true" outlineLevel="0" collapsed="false">
      <c r="A113" s="10" t="s">
        <v>97</v>
      </c>
      <c r="B113" s="11" t="n">
        <v>45393</v>
      </c>
      <c r="C113" s="10" t="s">
        <v>755</v>
      </c>
    </row>
    <row r="114" customFormat="false" ht="15" hidden="false" customHeight="true" outlineLevel="0" collapsed="false">
      <c r="A114" s="10" t="s">
        <v>97</v>
      </c>
      <c r="B114" s="11" t="n">
        <v>45394</v>
      </c>
      <c r="C114" s="10" t="s">
        <v>755</v>
      </c>
    </row>
    <row r="115" customFormat="false" ht="15" hidden="false" customHeight="true" outlineLevel="0" collapsed="false">
      <c r="A115" s="10" t="s">
        <v>97</v>
      </c>
      <c r="B115" s="11" t="n">
        <v>45397</v>
      </c>
      <c r="C115" s="10" t="s">
        <v>755</v>
      </c>
    </row>
    <row r="116" customFormat="false" ht="15" hidden="false" customHeight="true" outlineLevel="0" collapsed="false">
      <c r="A116" s="10" t="s">
        <v>97</v>
      </c>
      <c r="B116" s="11" t="n">
        <v>45398</v>
      </c>
      <c r="C116" s="10" t="s">
        <v>755</v>
      </c>
    </row>
    <row r="117" customFormat="false" ht="15" hidden="false" customHeight="true" outlineLevel="0" collapsed="false">
      <c r="A117" s="10" t="s">
        <v>97</v>
      </c>
      <c r="B117" s="11" t="n">
        <v>45399</v>
      </c>
      <c r="C117" s="10" t="s">
        <v>755</v>
      </c>
    </row>
    <row r="118" customFormat="false" ht="15" hidden="false" customHeight="true" outlineLevel="0" collapsed="false">
      <c r="A118" s="10" t="s">
        <v>97</v>
      </c>
      <c r="B118" s="11" t="n">
        <v>45400</v>
      </c>
      <c r="C118" s="10" t="s">
        <v>755</v>
      </c>
    </row>
    <row r="119" customFormat="false" ht="15" hidden="false" customHeight="true" outlineLevel="0" collapsed="false">
      <c r="A119" s="10" t="s">
        <v>97</v>
      </c>
      <c r="B119" s="11" t="n">
        <v>45401</v>
      </c>
      <c r="C119" s="10" t="s">
        <v>755</v>
      </c>
    </row>
    <row r="120" customFormat="false" ht="15" hidden="false" customHeight="true" outlineLevel="0" collapsed="false">
      <c r="A120" s="10" t="s">
        <v>97</v>
      </c>
      <c r="B120" s="11" t="n">
        <v>45404</v>
      </c>
      <c r="C120" s="10" t="s">
        <v>755</v>
      </c>
    </row>
    <row r="121" customFormat="false" ht="15" hidden="false" customHeight="true" outlineLevel="0" collapsed="false">
      <c r="A121" s="10" t="s">
        <v>97</v>
      </c>
      <c r="B121" s="11" t="n">
        <v>45405</v>
      </c>
      <c r="C121" s="10" t="s">
        <v>755</v>
      </c>
    </row>
    <row r="122" customFormat="false" ht="15" hidden="false" customHeight="true" outlineLevel="0" collapsed="false">
      <c r="A122" s="10" t="s">
        <v>97</v>
      </c>
      <c r="B122" s="11" t="n">
        <v>45406</v>
      </c>
      <c r="C122" s="10" t="s">
        <v>755</v>
      </c>
    </row>
    <row r="123" customFormat="false" ht="15" hidden="false" customHeight="true" outlineLevel="0" collapsed="false">
      <c r="A123" s="10" t="s">
        <v>97</v>
      </c>
      <c r="B123" s="11" t="n">
        <v>45407</v>
      </c>
      <c r="C123" s="10" t="s">
        <v>755</v>
      </c>
    </row>
    <row r="124" customFormat="false" ht="15" hidden="false" customHeight="true" outlineLevel="0" collapsed="false">
      <c r="A124" s="10" t="s">
        <v>97</v>
      </c>
      <c r="B124" s="11" t="n">
        <v>45408</v>
      </c>
      <c r="C124" s="10" t="s">
        <v>755</v>
      </c>
    </row>
    <row r="125" customFormat="false" ht="15" hidden="false" customHeight="true" outlineLevel="0" collapsed="false">
      <c r="A125" s="10" t="s">
        <v>97</v>
      </c>
      <c r="B125" s="11" t="n">
        <v>45411</v>
      </c>
      <c r="C125" s="10" t="s">
        <v>755</v>
      </c>
    </row>
    <row r="126" customFormat="false" ht="15" hidden="false" customHeight="true" outlineLevel="0" collapsed="false">
      <c r="A126" s="10" t="s">
        <v>97</v>
      </c>
      <c r="B126" s="11" t="n">
        <v>45412</v>
      </c>
      <c r="C126" s="10" t="s">
        <v>755</v>
      </c>
    </row>
    <row r="127" customFormat="false" ht="15" hidden="false" customHeight="true" outlineLevel="0" collapsed="false">
      <c r="A127" s="10" t="s">
        <v>97</v>
      </c>
      <c r="B127" s="11" t="n">
        <v>45414</v>
      </c>
      <c r="C127" s="10" t="s">
        <v>755</v>
      </c>
    </row>
    <row r="128" customFormat="false" ht="15" hidden="false" customHeight="true" outlineLevel="0" collapsed="false">
      <c r="A128" s="10" t="s">
        <v>97</v>
      </c>
      <c r="B128" s="11" t="n">
        <v>45415</v>
      </c>
      <c r="C128" s="10" t="s">
        <v>755</v>
      </c>
    </row>
    <row r="129" customFormat="false" ht="15" hidden="false" customHeight="true" outlineLevel="0" collapsed="false">
      <c r="A129" s="10" t="s">
        <v>97</v>
      </c>
      <c r="B129" s="11" t="n">
        <v>45418</v>
      </c>
      <c r="C129" s="10" t="s">
        <v>755</v>
      </c>
    </row>
    <row r="130" customFormat="false" ht="15" hidden="false" customHeight="true" outlineLevel="0" collapsed="false">
      <c r="A130" s="10" t="s">
        <v>97</v>
      </c>
      <c r="B130" s="11" t="n">
        <v>45419</v>
      </c>
      <c r="C130" s="10" t="s">
        <v>755</v>
      </c>
    </row>
    <row r="131" customFormat="false" ht="15" hidden="false" customHeight="true" outlineLevel="0" collapsed="false">
      <c r="A131" s="10" t="s">
        <v>97</v>
      </c>
      <c r="B131" s="11" t="n">
        <v>45420</v>
      </c>
      <c r="C131" s="10" t="s">
        <v>755</v>
      </c>
    </row>
    <row r="132" customFormat="false" ht="15" hidden="false" customHeight="true" outlineLevel="0" collapsed="false">
      <c r="A132" s="10" t="s">
        <v>97</v>
      </c>
      <c r="B132" s="11" t="n">
        <v>45421</v>
      </c>
      <c r="C132" s="10" t="s">
        <v>755</v>
      </c>
    </row>
    <row r="133" customFormat="false" ht="15" hidden="false" customHeight="true" outlineLevel="0" collapsed="false">
      <c r="A133" s="10" t="s">
        <v>97</v>
      </c>
      <c r="B133" s="11" t="n">
        <v>45422</v>
      </c>
      <c r="C133" s="10" t="s">
        <v>755</v>
      </c>
    </row>
    <row r="134" customFormat="false" ht="15" hidden="false" customHeight="true" outlineLevel="0" collapsed="false">
      <c r="A134" s="10" t="s">
        <v>100</v>
      </c>
      <c r="B134" s="11" t="n">
        <v>45384</v>
      </c>
      <c r="C134" s="10" t="s">
        <v>755</v>
      </c>
    </row>
    <row r="135" customFormat="false" ht="15" hidden="false" customHeight="true" outlineLevel="0" collapsed="false">
      <c r="A135" s="10" t="s">
        <v>100</v>
      </c>
      <c r="B135" s="11" t="n">
        <v>45385</v>
      </c>
      <c r="C135" s="10" t="s">
        <v>755</v>
      </c>
    </row>
    <row r="136" customFormat="false" ht="15" hidden="false" customHeight="true" outlineLevel="0" collapsed="false">
      <c r="A136" s="10" t="s">
        <v>100</v>
      </c>
      <c r="B136" s="11" t="n">
        <v>45386</v>
      </c>
      <c r="C136" s="10" t="s">
        <v>755</v>
      </c>
    </row>
    <row r="137" customFormat="false" ht="15" hidden="false" customHeight="true" outlineLevel="0" collapsed="false">
      <c r="A137" s="10" t="s">
        <v>100</v>
      </c>
      <c r="B137" s="11" t="n">
        <v>45387</v>
      </c>
      <c r="C137" s="10" t="s">
        <v>755</v>
      </c>
    </row>
    <row r="138" customFormat="false" ht="15" hidden="false" customHeight="true" outlineLevel="0" collapsed="false">
      <c r="A138" s="10" t="s">
        <v>100</v>
      </c>
      <c r="B138" s="11" t="n">
        <v>45390</v>
      </c>
      <c r="C138" s="10" t="s">
        <v>755</v>
      </c>
    </row>
    <row r="139" customFormat="false" ht="15" hidden="false" customHeight="true" outlineLevel="0" collapsed="false">
      <c r="A139" s="10" t="s">
        <v>100</v>
      </c>
      <c r="B139" s="11" t="n">
        <v>45391</v>
      </c>
      <c r="C139" s="10" t="s">
        <v>755</v>
      </c>
    </row>
    <row r="140" customFormat="false" ht="15" hidden="false" customHeight="true" outlineLevel="0" collapsed="false">
      <c r="A140" s="10" t="s">
        <v>100</v>
      </c>
      <c r="B140" s="11" t="n">
        <v>45392</v>
      </c>
      <c r="C140" s="10" t="s">
        <v>755</v>
      </c>
    </row>
    <row r="141" customFormat="false" ht="15" hidden="false" customHeight="true" outlineLevel="0" collapsed="false">
      <c r="A141" s="10" t="s">
        <v>100</v>
      </c>
      <c r="B141" s="11" t="n">
        <v>45393</v>
      </c>
      <c r="C141" s="10" t="s">
        <v>755</v>
      </c>
    </row>
    <row r="142" customFormat="false" ht="15" hidden="false" customHeight="true" outlineLevel="0" collapsed="false">
      <c r="A142" s="10" t="s">
        <v>100</v>
      </c>
      <c r="B142" s="11" t="n">
        <v>45394</v>
      </c>
      <c r="C142" s="10" t="s">
        <v>755</v>
      </c>
    </row>
    <row r="143" customFormat="false" ht="15" hidden="false" customHeight="true" outlineLevel="0" collapsed="false">
      <c r="A143" s="10" t="s">
        <v>100</v>
      </c>
      <c r="B143" s="11" t="n">
        <v>45397</v>
      </c>
      <c r="C143" s="10" t="s">
        <v>755</v>
      </c>
    </row>
    <row r="144" customFormat="false" ht="15" hidden="false" customHeight="true" outlineLevel="0" collapsed="false">
      <c r="A144" s="10" t="s">
        <v>100</v>
      </c>
      <c r="B144" s="11" t="n">
        <v>45398</v>
      </c>
      <c r="C144" s="10" t="s">
        <v>755</v>
      </c>
    </row>
    <row r="145" customFormat="false" ht="15" hidden="false" customHeight="true" outlineLevel="0" collapsed="false">
      <c r="A145" s="10" t="s">
        <v>100</v>
      </c>
      <c r="B145" s="11" t="n">
        <v>45399</v>
      </c>
      <c r="C145" s="10" t="s">
        <v>755</v>
      </c>
    </row>
    <row r="146" customFormat="false" ht="15" hidden="false" customHeight="true" outlineLevel="0" collapsed="false">
      <c r="A146" s="10" t="s">
        <v>100</v>
      </c>
      <c r="B146" s="11" t="n">
        <v>45400</v>
      </c>
      <c r="C146" s="10" t="s">
        <v>755</v>
      </c>
    </row>
    <row r="147" customFormat="false" ht="15" hidden="false" customHeight="true" outlineLevel="0" collapsed="false">
      <c r="A147" s="10" t="s">
        <v>100</v>
      </c>
      <c r="B147" s="11" t="n">
        <v>45401</v>
      </c>
      <c r="C147" s="10" t="s">
        <v>755</v>
      </c>
    </row>
    <row r="148" customFormat="false" ht="15" hidden="false" customHeight="true" outlineLevel="0" collapsed="false">
      <c r="A148" s="10" t="s">
        <v>100</v>
      </c>
      <c r="B148" s="11" t="n">
        <v>45404</v>
      </c>
      <c r="C148" s="10" t="s">
        <v>755</v>
      </c>
    </row>
    <row r="149" customFormat="false" ht="15" hidden="false" customHeight="true" outlineLevel="0" collapsed="false">
      <c r="A149" s="10" t="s">
        <v>100</v>
      </c>
      <c r="B149" s="11" t="n">
        <v>45405</v>
      </c>
      <c r="C149" s="10" t="s">
        <v>755</v>
      </c>
    </row>
    <row r="150" customFormat="false" ht="15" hidden="false" customHeight="true" outlineLevel="0" collapsed="false">
      <c r="A150" s="10" t="s">
        <v>100</v>
      </c>
      <c r="B150" s="11" t="n">
        <v>45406</v>
      </c>
      <c r="C150" s="10" t="s">
        <v>755</v>
      </c>
    </row>
    <row r="151" customFormat="false" ht="15" hidden="false" customHeight="true" outlineLevel="0" collapsed="false">
      <c r="A151" s="10" t="s">
        <v>100</v>
      </c>
      <c r="B151" s="11" t="n">
        <v>45407</v>
      </c>
      <c r="C151" s="10" t="s">
        <v>755</v>
      </c>
    </row>
    <row r="152" customFormat="false" ht="15" hidden="false" customHeight="true" outlineLevel="0" collapsed="false">
      <c r="A152" s="10" t="s">
        <v>100</v>
      </c>
      <c r="B152" s="11" t="n">
        <v>45408</v>
      </c>
      <c r="C152" s="10" t="s">
        <v>755</v>
      </c>
    </row>
    <row r="153" customFormat="false" ht="15" hidden="false" customHeight="true" outlineLevel="0" collapsed="false">
      <c r="A153" s="10" t="s">
        <v>100</v>
      </c>
      <c r="B153" s="11" t="n">
        <v>45411</v>
      </c>
      <c r="C153" s="10" t="s">
        <v>755</v>
      </c>
    </row>
    <row r="154" customFormat="false" ht="15" hidden="false" customHeight="true" outlineLevel="0" collapsed="false">
      <c r="A154" s="10" t="s">
        <v>100</v>
      </c>
      <c r="B154" s="11" t="n">
        <v>45412</v>
      </c>
      <c r="C154" s="10" t="s">
        <v>755</v>
      </c>
    </row>
    <row r="155" customFormat="false" ht="15" hidden="false" customHeight="true" outlineLevel="0" collapsed="false">
      <c r="A155" s="10" t="s">
        <v>100</v>
      </c>
      <c r="B155" s="11" t="n">
        <v>45414</v>
      </c>
      <c r="C155" s="10" t="s">
        <v>755</v>
      </c>
    </row>
    <row r="156" customFormat="false" ht="15" hidden="false" customHeight="true" outlineLevel="0" collapsed="false">
      <c r="A156" s="10" t="s">
        <v>100</v>
      </c>
      <c r="B156" s="11" t="n">
        <v>45415</v>
      </c>
      <c r="C156" s="10" t="s">
        <v>755</v>
      </c>
    </row>
    <row r="157" customFormat="false" ht="15" hidden="false" customHeight="true" outlineLevel="0" collapsed="false">
      <c r="A157" s="10" t="s">
        <v>100</v>
      </c>
      <c r="B157" s="11" t="n">
        <v>45418</v>
      </c>
      <c r="C157" s="10" t="s">
        <v>755</v>
      </c>
    </row>
    <row r="158" customFormat="false" ht="15" hidden="false" customHeight="true" outlineLevel="0" collapsed="false">
      <c r="A158" s="10" t="s">
        <v>100</v>
      </c>
      <c r="B158" s="11" t="n">
        <v>45419</v>
      </c>
      <c r="C158" s="10" t="s">
        <v>755</v>
      </c>
    </row>
    <row r="159" customFormat="false" ht="15" hidden="false" customHeight="true" outlineLevel="0" collapsed="false">
      <c r="A159" s="10" t="s">
        <v>100</v>
      </c>
      <c r="B159" s="11" t="n">
        <v>45420</v>
      </c>
      <c r="C159" s="10" t="s">
        <v>755</v>
      </c>
    </row>
    <row r="160" customFormat="false" ht="15" hidden="false" customHeight="true" outlineLevel="0" collapsed="false">
      <c r="A160" s="10" t="s">
        <v>100</v>
      </c>
      <c r="B160" s="11" t="n">
        <v>45421</v>
      </c>
      <c r="C160" s="10" t="s">
        <v>755</v>
      </c>
    </row>
    <row r="161" customFormat="false" ht="15" hidden="false" customHeight="true" outlineLevel="0" collapsed="false">
      <c r="A161" s="10" t="s">
        <v>100</v>
      </c>
      <c r="B161" s="11" t="n">
        <v>45422</v>
      </c>
      <c r="C161" s="10" t="s">
        <v>755</v>
      </c>
    </row>
    <row r="162" customFormat="false" ht="15" hidden="false" customHeight="true" outlineLevel="0" collapsed="false">
      <c r="A162" s="10" t="s">
        <v>102</v>
      </c>
      <c r="B162" s="11" t="n">
        <v>45384</v>
      </c>
      <c r="C162" s="10" t="s">
        <v>756</v>
      </c>
    </row>
    <row r="163" customFormat="false" ht="15" hidden="false" customHeight="true" outlineLevel="0" collapsed="false">
      <c r="A163" s="10" t="s">
        <v>102</v>
      </c>
      <c r="B163" s="11" t="n">
        <v>45385</v>
      </c>
      <c r="C163" s="10" t="s">
        <v>756</v>
      </c>
    </row>
    <row r="164" customFormat="false" ht="15" hidden="false" customHeight="true" outlineLevel="0" collapsed="false">
      <c r="A164" s="10" t="s">
        <v>102</v>
      </c>
      <c r="B164" s="11" t="n">
        <v>45386</v>
      </c>
      <c r="C164" s="10" t="s">
        <v>756</v>
      </c>
    </row>
    <row r="165" customFormat="false" ht="15" hidden="false" customHeight="true" outlineLevel="0" collapsed="false">
      <c r="A165" s="10" t="s">
        <v>102</v>
      </c>
      <c r="B165" s="11" t="n">
        <v>45387</v>
      </c>
      <c r="C165" s="10" t="s">
        <v>756</v>
      </c>
    </row>
    <row r="166" customFormat="false" ht="15" hidden="false" customHeight="true" outlineLevel="0" collapsed="false">
      <c r="A166" s="10" t="s">
        <v>102</v>
      </c>
      <c r="B166" s="11" t="n">
        <v>45390</v>
      </c>
      <c r="C166" s="10" t="s">
        <v>756</v>
      </c>
    </row>
    <row r="167" customFormat="false" ht="15" hidden="false" customHeight="true" outlineLevel="0" collapsed="false">
      <c r="A167" s="10" t="s">
        <v>102</v>
      </c>
      <c r="B167" s="11" t="n">
        <v>45391</v>
      </c>
      <c r="C167" s="10" t="s">
        <v>756</v>
      </c>
    </row>
    <row r="168" customFormat="false" ht="15" hidden="false" customHeight="true" outlineLevel="0" collapsed="false">
      <c r="A168" s="10" t="s">
        <v>102</v>
      </c>
      <c r="B168" s="11" t="n">
        <v>45392</v>
      </c>
      <c r="C168" s="10" t="s">
        <v>756</v>
      </c>
    </row>
    <row r="169" customFormat="false" ht="15" hidden="false" customHeight="true" outlineLevel="0" collapsed="false">
      <c r="A169" s="10" t="s">
        <v>102</v>
      </c>
      <c r="B169" s="11" t="n">
        <v>45393</v>
      </c>
      <c r="C169" s="10" t="s">
        <v>756</v>
      </c>
    </row>
    <row r="170" customFormat="false" ht="15" hidden="false" customHeight="true" outlineLevel="0" collapsed="false">
      <c r="A170" s="10" t="s">
        <v>102</v>
      </c>
      <c r="B170" s="11" t="n">
        <v>45394</v>
      </c>
      <c r="C170" s="10" t="s">
        <v>756</v>
      </c>
    </row>
    <row r="171" customFormat="false" ht="15" hidden="false" customHeight="true" outlineLevel="0" collapsed="false">
      <c r="A171" s="10" t="s">
        <v>102</v>
      </c>
      <c r="B171" s="11" t="n">
        <v>45397</v>
      </c>
      <c r="C171" s="10" t="s">
        <v>756</v>
      </c>
    </row>
    <row r="172" customFormat="false" ht="15" hidden="false" customHeight="true" outlineLevel="0" collapsed="false">
      <c r="A172" s="10" t="s">
        <v>102</v>
      </c>
      <c r="B172" s="11" t="n">
        <v>45398</v>
      </c>
      <c r="C172" s="10" t="s">
        <v>756</v>
      </c>
    </row>
    <row r="173" customFormat="false" ht="15" hidden="false" customHeight="true" outlineLevel="0" collapsed="false">
      <c r="A173" s="10" t="s">
        <v>102</v>
      </c>
      <c r="B173" s="11" t="n">
        <v>45399</v>
      </c>
      <c r="C173" s="10" t="s">
        <v>756</v>
      </c>
    </row>
    <row r="174" customFormat="false" ht="15" hidden="false" customHeight="true" outlineLevel="0" collapsed="false">
      <c r="A174" s="10" t="s">
        <v>102</v>
      </c>
      <c r="B174" s="11" t="n">
        <v>45400</v>
      </c>
      <c r="C174" s="10" t="s">
        <v>756</v>
      </c>
    </row>
    <row r="175" customFormat="false" ht="15" hidden="false" customHeight="true" outlineLevel="0" collapsed="false">
      <c r="A175" s="10" t="s">
        <v>102</v>
      </c>
      <c r="B175" s="11" t="n">
        <v>45401</v>
      </c>
      <c r="C175" s="10" t="s">
        <v>756</v>
      </c>
    </row>
    <row r="176" customFormat="false" ht="15" hidden="false" customHeight="true" outlineLevel="0" collapsed="false">
      <c r="A176" s="10" t="s">
        <v>102</v>
      </c>
      <c r="B176" s="11" t="n">
        <v>45404</v>
      </c>
      <c r="C176" s="10" t="s">
        <v>756</v>
      </c>
    </row>
    <row r="177" customFormat="false" ht="15" hidden="false" customHeight="true" outlineLevel="0" collapsed="false">
      <c r="A177" s="10" t="s">
        <v>102</v>
      </c>
      <c r="B177" s="11" t="n">
        <v>45405</v>
      </c>
      <c r="C177" s="10" t="s">
        <v>756</v>
      </c>
    </row>
    <row r="178" customFormat="false" ht="15" hidden="false" customHeight="true" outlineLevel="0" collapsed="false">
      <c r="A178" s="10" t="s">
        <v>102</v>
      </c>
      <c r="B178" s="11" t="n">
        <v>45406</v>
      </c>
      <c r="C178" s="10" t="s">
        <v>756</v>
      </c>
    </row>
    <row r="179" customFormat="false" ht="15" hidden="false" customHeight="true" outlineLevel="0" collapsed="false">
      <c r="A179" s="10" t="s">
        <v>102</v>
      </c>
      <c r="B179" s="11" t="n">
        <v>45407</v>
      </c>
      <c r="C179" s="10" t="s">
        <v>756</v>
      </c>
    </row>
    <row r="180" customFormat="false" ht="15" hidden="false" customHeight="true" outlineLevel="0" collapsed="false">
      <c r="A180" s="10" t="s">
        <v>102</v>
      </c>
      <c r="B180" s="11" t="n">
        <v>45408</v>
      </c>
      <c r="C180" s="10" t="s">
        <v>756</v>
      </c>
    </row>
    <row r="181" customFormat="false" ht="15" hidden="false" customHeight="true" outlineLevel="0" collapsed="false">
      <c r="A181" s="10" t="s">
        <v>102</v>
      </c>
      <c r="B181" s="11" t="n">
        <v>45411</v>
      </c>
      <c r="C181" s="10" t="s">
        <v>756</v>
      </c>
    </row>
    <row r="182" customFormat="false" ht="15" hidden="false" customHeight="true" outlineLevel="0" collapsed="false">
      <c r="A182" s="10" t="s">
        <v>102</v>
      </c>
      <c r="B182" s="11" t="n">
        <v>45412</v>
      </c>
      <c r="C182" s="10" t="s">
        <v>756</v>
      </c>
    </row>
    <row r="183" customFormat="false" ht="15" hidden="false" customHeight="true" outlineLevel="0" collapsed="false">
      <c r="A183" s="10" t="s">
        <v>102</v>
      </c>
      <c r="B183" s="11" t="n">
        <v>45414</v>
      </c>
      <c r="C183" s="10" t="s">
        <v>756</v>
      </c>
    </row>
    <row r="184" customFormat="false" ht="15" hidden="false" customHeight="true" outlineLevel="0" collapsed="false">
      <c r="A184" s="10" t="s">
        <v>102</v>
      </c>
      <c r="B184" s="11" t="n">
        <v>45415</v>
      </c>
      <c r="C184" s="10" t="s">
        <v>756</v>
      </c>
    </row>
    <row r="185" customFormat="false" ht="15" hidden="false" customHeight="true" outlineLevel="0" collapsed="false">
      <c r="A185" s="10" t="s">
        <v>102</v>
      </c>
      <c r="B185" s="11" t="n">
        <v>45418</v>
      </c>
      <c r="C185" s="10" t="s">
        <v>756</v>
      </c>
    </row>
    <row r="186" customFormat="false" ht="15" hidden="false" customHeight="true" outlineLevel="0" collapsed="false">
      <c r="A186" s="10" t="s">
        <v>102</v>
      </c>
      <c r="B186" s="11" t="n">
        <v>45419</v>
      </c>
      <c r="C186" s="10" t="s">
        <v>756</v>
      </c>
    </row>
    <row r="187" customFormat="false" ht="15" hidden="false" customHeight="true" outlineLevel="0" collapsed="false">
      <c r="A187" s="10" t="s">
        <v>102</v>
      </c>
      <c r="B187" s="11" t="n">
        <v>45420</v>
      </c>
      <c r="C187" s="10" t="s">
        <v>756</v>
      </c>
    </row>
    <row r="188" customFormat="false" ht="15" hidden="false" customHeight="true" outlineLevel="0" collapsed="false">
      <c r="A188" s="10" t="s">
        <v>102</v>
      </c>
      <c r="B188" s="11" t="n">
        <v>45421</v>
      </c>
      <c r="C188" s="10" t="s">
        <v>756</v>
      </c>
    </row>
    <row r="189" customFormat="false" ht="15" hidden="false" customHeight="true" outlineLevel="0" collapsed="false">
      <c r="A189" s="10" t="s">
        <v>102</v>
      </c>
      <c r="B189" s="11" t="n">
        <v>45422</v>
      </c>
      <c r="C189" s="10" t="s">
        <v>756</v>
      </c>
    </row>
    <row r="190" customFormat="false" ht="15" hidden="false" customHeight="true" outlineLevel="0" collapsed="false">
      <c r="A190" s="10" t="s">
        <v>105</v>
      </c>
      <c r="B190" s="11" t="n">
        <v>45376</v>
      </c>
      <c r="C190" s="10" t="s">
        <v>755</v>
      </c>
    </row>
    <row r="191" customFormat="false" ht="15" hidden="false" customHeight="true" outlineLevel="0" collapsed="false">
      <c r="A191" s="10" t="s">
        <v>105</v>
      </c>
      <c r="B191" s="11" t="n">
        <v>45377</v>
      </c>
      <c r="C191" s="10" t="s">
        <v>755</v>
      </c>
    </row>
    <row r="192" customFormat="false" ht="15" hidden="false" customHeight="true" outlineLevel="0" collapsed="false">
      <c r="A192" s="10" t="s">
        <v>105</v>
      </c>
      <c r="B192" s="11" t="n">
        <v>45378</v>
      </c>
      <c r="C192" s="10" t="s">
        <v>755</v>
      </c>
    </row>
    <row r="193" customFormat="false" ht="15" hidden="false" customHeight="true" outlineLevel="0" collapsed="false">
      <c r="A193" s="10" t="s">
        <v>105</v>
      </c>
      <c r="B193" s="11" t="n">
        <v>45379</v>
      </c>
      <c r="C193" s="10" t="s">
        <v>755</v>
      </c>
    </row>
    <row r="194" customFormat="false" ht="15" hidden="false" customHeight="true" outlineLevel="0" collapsed="false">
      <c r="A194" s="10" t="s">
        <v>113</v>
      </c>
      <c r="B194" s="11" t="n">
        <v>45376</v>
      </c>
      <c r="C194" s="10" t="s">
        <v>755</v>
      </c>
    </row>
    <row r="195" customFormat="false" ht="15" hidden="false" customHeight="true" outlineLevel="0" collapsed="false">
      <c r="A195" s="10" t="s">
        <v>113</v>
      </c>
      <c r="B195" s="11" t="n">
        <v>45377</v>
      </c>
      <c r="C195" s="10" t="s">
        <v>755</v>
      </c>
    </row>
    <row r="196" customFormat="false" ht="15" hidden="false" customHeight="true" outlineLevel="0" collapsed="false">
      <c r="A196" s="10" t="s">
        <v>113</v>
      </c>
      <c r="B196" s="11" t="n">
        <v>45378</v>
      </c>
      <c r="C196" s="10" t="s">
        <v>755</v>
      </c>
    </row>
    <row r="197" customFormat="false" ht="15" hidden="false" customHeight="true" outlineLevel="0" collapsed="false">
      <c r="A197" s="10" t="s">
        <v>113</v>
      </c>
      <c r="B197" s="11" t="n">
        <v>45379</v>
      </c>
      <c r="C197" s="10" t="s">
        <v>755</v>
      </c>
    </row>
    <row r="198" customFormat="false" ht="15" hidden="false" customHeight="true" outlineLevel="0" collapsed="false">
      <c r="A198" s="10" t="s">
        <v>115</v>
      </c>
      <c r="B198" s="11" t="n">
        <v>45405</v>
      </c>
      <c r="C198" s="10" t="s">
        <v>755</v>
      </c>
    </row>
    <row r="199" customFormat="false" ht="15" hidden="false" customHeight="true" outlineLevel="0" collapsed="false">
      <c r="A199" s="10" t="s">
        <v>115</v>
      </c>
      <c r="B199" s="11" t="n">
        <v>45412</v>
      </c>
      <c r="C199" s="10" t="s">
        <v>755</v>
      </c>
    </row>
    <row r="200" customFormat="false" ht="15" hidden="false" customHeight="true" outlineLevel="0" collapsed="false">
      <c r="A200" s="10" t="s">
        <v>123</v>
      </c>
      <c r="B200" s="11" t="n">
        <v>45394</v>
      </c>
      <c r="C200" s="10" t="s">
        <v>755</v>
      </c>
    </row>
    <row r="201" customFormat="false" ht="15" hidden="false" customHeight="true" outlineLevel="0" collapsed="false">
      <c r="A201" s="10" t="s">
        <v>123</v>
      </c>
      <c r="B201" s="11" t="n">
        <v>45395</v>
      </c>
      <c r="C201" s="10" t="s">
        <v>755</v>
      </c>
    </row>
    <row r="202" customFormat="false" ht="15" hidden="false" customHeight="true" outlineLevel="0" collapsed="false">
      <c r="A202" s="10" t="s">
        <v>123</v>
      </c>
      <c r="B202" s="11" t="n">
        <v>45396</v>
      </c>
      <c r="C202" s="10" t="s">
        <v>755</v>
      </c>
    </row>
    <row r="203" customFormat="false" ht="15" hidden="false" customHeight="true" outlineLevel="0" collapsed="false">
      <c r="A203" s="10" t="s">
        <v>123</v>
      </c>
      <c r="B203" s="11" t="n">
        <v>45398</v>
      </c>
      <c r="C203" s="10" t="s">
        <v>755</v>
      </c>
    </row>
    <row r="204" customFormat="false" ht="15" hidden="false" customHeight="true" outlineLevel="0" collapsed="false">
      <c r="A204" s="10" t="s">
        <v>123</v>
      </c>
      <c r="B204" s="11" t="n">
        <v>45400</v>
      </c>
      <c r="C204" s="10" t="s">
        <v>755</v>
      </c>
    </row>
    <row r="205" customFormat="false" ht="15" hidden="false" customHeight="true" outlineLevel="0" collapsed="false">
      <c r="A205" s="10" t="s">
        <v>123</v>
      </c>
      <c r="B205" s="11" t="n">
        <v>45401</v>
      </c>
      <c r="C205" s="10" t="s">
        <v>755</v>
      </c>
    </row>
    <row r="206" customFormat="false" ht="15" hidden="false" customHeight="true" outlineLevel="0" collapsed="false">
      <c r="A206" s="10" t="s">
        <v>123</v>
      </c>
      <c r="B206" s="11" t="n">
        <v>45402</v>
      </c>
      <c r="C206" s="10" t="s">
        <v>755</v>
      </c>
    </row>
    <row r="207" customFormat="false" ht="15" hidden="false" customHeight="true" outlineLevel="0" collapsed="false">
      <c r="A207" s="10" t="s">
        <v>123</v>
      </c>
      <c r="B207" s="11" t="n">
        <v>45403</v>
      </c>
      <c r="C207" s="10" t="s">
        <v>755</v>
      </c>
    </row>
    <row r="208" customFormat="false" ht="15" hidden="false" customHeight="true" outlineLevel="0" collapsed="false">
      <c r="A208" s="10" t="s">
        <v>123</v>
      </c>
      <c r="B208" s="11" t="n">
        <v>45408</v>
      </c>
      <c r="C208" s="10" t="s">
        <v>755</v>
      </c>
    </row>
    <row r="209" customFormat="false" ht="15" hidden="false" customHeight="true" outlineLevel="0" collapsed="false">
      <c r="A209" s="10" t="s">
        <v>123</v>
      </c>
      <c r="B209" s="11" t="n">
        <v>45409</v>
      </c>
      <c r="C209" s="10" t="s">
        <v>755</v>
      </c>
    </row>
    <row r="210" customFormat="false" ht="15" hidden="false" customHeight="true" outlineLevel="0" collapsed="false">
      <c r="A210" s="10" t="s">
        <v>123</v>
      </c>
      <c r="B210" s="11" t="n">
        <v>45410</v>
      </c>
      <c r="C210" s="10" t="s">
        <v>755</v>
      </c>
    </row>
    <row r="211" customFormat="false" ht="15" hidden="false" customHeight="true" outlineLevel="0" collapsed="false">
      <c r="A211" s="10" t="s">
        <v>123</v>
      </c>
      <c r="B211" s="11" t="n">
        <v>45415</v>
      </c>
      <c r="C211" s="10" t="s">
        <v>755</v>
      </c>
    </row>
    <row r="212" customFormat="false" ht="15" hidden="false" customHeight="true" outlineLevel="0" collapsed="false">
      <c r="A212" s="10" t="s">
        <v>123</v>
      </c>
      <c r="B212" s="11" t="n">
        <v>45416</v>
      </c>
      <c r="C212" s="10" t="s">
        <v>755</v>
      </c>
    </row>
    <row r="213" customFormat="false" ht="15" hidden="false" customHeight="true" outlineLevel="0" collapsed="false">
      <c r="A213" s="10" t="s">
        <v>123</v>
      </c>
      <c r="B213" s="11" t="n">
        <v>45417</v>
      </c>
      <c r="C213" s="10" t="s">
        <v>755</v>
      </c>
    </row>
    <row r="214" customFormat="false" ht="15" hidden="false" customHeight="true" outlineLevel="0" collapsed="false">
      <c r="A214" s="10" t="s">
        <v>123</v>
      </c>
      <c r="B214" s="11" t="n">
        <v>45423</v>
      </c>
      <c r="C214" s="10" t="s">
        <v>755</v>
      </c>
    </row>
    <row r="215" customFormat="false" ht="15" hidden="false" customHeight="true" outlineLevel="0" collapsed="false">
      <c r="A215" s="10" t="s">
        <v>123</v>
      </c>
      <c r="B215" s="11" t="n">
        <v>45429</v>
      </c>
      <c r="C215" s="10" t="s">
        <v>755</v>
      </c>
    </row>
    <row r="216" customFormat="false" ht="15" hidden="false" customHeight="true" outlineLevel="0" collapsed="false">
      <c r="A216" s="10" t="s">
        <v>123</v>
      </c>
      <c r="B216" s="11" t="n">
        <v>45430</v>
      </c>
      <c r="C216" s="10" t="s">
        <v>755</v>
      </c>
    </row>
    <row r="217" customFormat="false" ht="15" hidden="false" customHeight="true" outlineLevel="0" collapsed="false">
      <c r="A217" s="10" t="s">
        <v>123</v>
      </c>
      <c r="B217" s="11" t="n">
        <v>45431</v>
      </c>
      <c r="C217" s="10" t="s">
        <v>755</v>
      </c>
    </row>
    <row r="218" customFormat="false" ht="15" hidden="false" customHeight="true" outlineLevel="0" collapsed="false">
      <c r="A218" s="10" t="s">
        <v>123</v>
      </c>
      <c r="B218" s="11" t="n">
        <v>45436</v>
      </c>
      <c r="C218" s="10" t="s">
        <v>755</v>
      </c>
    </row>
    <row r="219" customFormat="false" ht="15" hidden="false" customHeight="true" outlineLevel="0" collapsed="false">
      <c r="A219" s="10" t="s">
        <v>123</v>
      </c>
      <c r="B219" s="11" t="n">
        <v>45437</v>
      </c>
      <c r="C219" s="10" t="s">
        <v>755</v>
      </c>
    </row>
    <row r="220" customFormat="false" ht="15" hidden="false" customHeight="true" outlineLevel="0" collapsed="false">
      <c r="A220" s="10" t="s">
        <v>123</v>
      </c>
      <c r="B220" s="11" t="n">
        <v>45438</v>
      </c>
      <c r="C220" s="10" t="s">
        <v>755</v>
      </c>
    </row>
    <row r="221" customFormat="false" ht="15" hidden="false" customHeight="true" outlineLevel="0" collapsed="false">
      <c r="A221" s="10" t="s">
        <v>123</v>
      </c>
      <c r="B221" s="11" t="n">
        <v>45443</v>
      </c>
      <c r="C221" s="10" t="s">
        <v>755</v>
      </c>
    </row>
    <row r="222" customFormat="false" ht="15" hidden="false" customHeight="true" outlineLevel="0" collapsed="false">
      <c r="A222" s="10" t="s">
        <v>123</v>
      </c>
      <c r="B222" s="11" t="n">
        <v>45444</v>
      </c>
      <c r="C222" s="10" t="s">
        <v>755</v>
      </c>
    </row>
    <row r="223" customFormat="false" ht="15" hidden="false" customHeight="true" outlineLevel="0" collapsed="false">
      <c r="A223" s="10" t="s">
        <v>123</v>
      </c>
      <c r="B223" s="11" t="n">
        <v>45445</v>
      </c>
      <c r="C223" s="10" t="s">
        <v>755</v>
      </c>
    </row>
    <row r="224" customFormat="false" ht="15" hidden="false" customHeight="true" outlineLevel="0" collapsed="false">
      <c r="A224" s="10" t="s">
        <v>123</v>
      </c>
      <c r="B224" s="11" t="n">
        <v>45451</v>
      </c>
      <c r="C224" s="10" t="s">
        <v>755</v>
      </c>
    </row>
    <row r="225" customFormat="false" ht="15" hidden="false" customHeight="true" outlineLevel="0" collapsed="false">
      <c r="A225" s="10" t="s">
        <v>123</v>
      </c>
      <c r="B225" s="11" t="n">
        <v>45452</v>
      </c>
      <c r="C225" s="10" t="s">
        <v>755</v>
      </c>
    </row>
    <row r="226" customFormat="false" ht="15" hidden="false" customHeight="true" outlineLevel="0" collapsed="false">
      <c r="A226" s="10" t="s">
        <v>123</v>
      </c>
      <c r="B226" s="11" t="n">
        <v>45457</v>
      </c>
      <c r="C226" s="10" t="s">
        <v>755</v>
      </c>
    </row>
    <row r="227" customFormat="false" ht="15" hidden="false" customHeight="true" outlineLevel="0" collapsed="false">
      <c r="A227" s="10" t="s">
        <v>123</v>
      </c>
      <c r="B227" s="11" t="n">
        <v>45458</v>
      </c>
      <c r="C227" s="10" t="s">
        <v>755</v>
      </c>
    </row>
    <row r="228" customFormat="false" ht="15" hidden="false" customHeight="true" outlineLevel="0" collapsed="false">
      <c r="A228" s="10" t="s">
        <v>123</v>
      </c>
      <c r="B228" s="11" t="n">
        <v>45459</v>
      </c>
      <c r="C228" s="10" t="s">
        <v>755</v>
      </c>
    </row>
    <row r="229" customFormat="false" ht="15" hidden="false" customHeight="true" outlineLevel="0" collapsed="false">
      <c r="A229" s="10" t="s">
        <v>123</v>
      </c>
      <c r="B229" s="11" t="n">
        <v>45464</v>
      </c>
      <c r="C229" s="10" t="s">
        <v>755</v>
      </c>
    </row>
    <row r="230" customFormat="false" ht="15" hidden="false" customHeight="true" outlineLevel="0" collapsed="false">
      <c r="A230" s="10" t="s">
        <v>127</v>
      </c>
      <c r="B230" s="11" t="n">
        <v>45395</v>
      </c>
      <c r="C230" s="10" t="s">
        <v>755</v>
      </c>
    </row>
    <row r="231" customFormat="false" ht="15" hidden="false" customHeight="true" outlineLevel="0" collapsed="false">
      <c r="A231" s="10" t="s">
        <v>127</v>
      </c>
      <c r="B231" s="11" t="n">
        <v>45396</v>
      </c>
      <c r="C231" s="10" t="s">
        <v>755</v>
      </c>
    </row>
    <row r="232" customFormat="false" ht="15" hidden="false" customHeight="true" outlineLevel="0" collapsed="false">
      <c r="A232" s="10" t="s">
        <v>127</v>
      </c>
      <c r="B232" s="11" t="n">
        <v>45398</v>
      </c>
      <c r="C232" s="10" t="s">
        <v>755</v>
      </c>
    </row>
    <row r="233" customFormat="false" ht="15" hidden="false" customHeight="true" outlineLevel="0" collapsed="false">
      <c r="A233" s="10" t="s">
        <v>127</v>
      </c>
      <c r="B233" s="11" t="n">
        <v>45400</v>
      </c>
      <c r="C233" s="10" t="s">
        <v>755</v>
      </c>
    </row>
    <row r="234" customFormat="false" ht="15" hidden="false" customHeight="true" outlineLevel="0" collapsed="false">
      <c r="A234" s="10" t="s">
        <v>127</v>
      </c>
      <c r="B234" s="11" t="n">
        <v>45401</v>
      </c>
      <c r="C234" s="10" t="s">
        <v>755</v>
      </c>
    </row>
    <row r="235" customFormat="false" ht="15" hidden="false" customHeight="true" outlineLevel="0" collapsed="false">
      <c r="A235" s="10" t="s">
        <v>127</v>
      </c>
      <c r="B235" s="11" t="n">
        <v>45402</v>
      </c>
      <c r="C235" s="10" t="s">
        <v>755</v>
      </c>
    </row>
    <row r="236" customFormat="false" ht="15" hidden="false" customHeight="true" outlineLevel="0" collapsed="false">
      <c r="A236" s="10" t="s">
        <v>127</v>
      </c>
      <c r="B236" s="11" t="n">
        <v>45405</v>
      </c>
      <c r="C236" s="10" t="s">
        <v>755</v>
      </c>
    </row>
    <row r="237" customFormat="false" ht="15" hidden="false" customHeight="true" outlineLevel="0" collapsed="false">
      <c r="A237" s="10" t="s">
        <v>127</v>
      </c>
      <c r="B237" s="11" t="n">
        <v>45412</v>
      </c>
      <c r="C237" s="10" t="s">
        <v>755</v>
      </c>
    </row>
    <row r="238" customFormat="false" ht="15" hidden="false" customHeight="true" outlineLevel="0" collapsed="false">
      <c r="A238" s="10" t="s">
        <v>127</v>
      </c>
      <c r="B238" s="11" t="n">
        <v>45414</v>
      </c>
      <c r="C238" s="10" t="s">
        <v>755</v>
      </c>
    </row>
    <row r="239" customFormat="false" ht="15" hidden="false" customHeight="true" outlineLevel="0" collapsed="false">
      <c r="A239" s="10" t="s">
        <v>127</v>
      </c>
      <c r="B239" s="11" t="n">
        <v>45416</v>
      </c>
      <c r="C239" s="10" t="s">
        <v>755</v>
      </c>
    </row>
    <row r="240" customFormat="false" ht="15" hidden="false" customHeight="true" outlineLevel="0" collapsed="false">
      <c r="A240" s="10" t="s">
        <v>127</v>
      </c>
      <c r="B240" s="11" t="n">
        <v>45419</v>
      </c>
      <c r="C240" s="10" t="s">
        <v>755</v>
      </c>
    </row>
    <row r="241" customFormat="false" ht="15" hidden="false" customHeight="true" outlineLevel="0" collapsed="false">
      <c r="A241" s="10" t="s">
        <v>127</v>
      </c>
      <c r="B241" s="11" t="n">
        <v>45423</v>
      </c>
      <c r="C241" s="10" t="s">
        <v>755</v>
      </c>
    </row>
    <row r="242" customFormat="false" ht="15" hidden="false" customHeight="true" outlineLevel="0" collapsed="false">
      <c r="A242" s="10" t="s">
        <v>127</v>
      </c>
      <c r="B242" s="11" t="n">
        <v>45426</v>
      </c>
      <c r="C242" s="10" t="s">
        <v>755</v>
      </c>
    </row>
    <row r="243" customFormat="false" ht="15" hidden="false" customHeight="true" outlineLevel="0" collapsed="false">
      <c r="A243" s="10" t="s">
        <v>127</v>
      </c>
      <c r="B243" s="11" t="n">
        <v>45430</v>
      </c>
      <c r="C243" s="10" t="s">
        <v>755</v>
      </c>
    </row>
    <row r="244" customFormat="false" ht="15" hidden="false" customHeight="true" outlineLevel="0" collapsed="false">
      <c r="A244" s="10" t="s">
        <v>127</v>
      </c>
      <c r="B244" s="11" t="n">
        <v>45437</v>
      </c>
      <c r="C244" s="10" t="s">
        <v>755</v>
      </c>
    </row>
    <row r="245" customFormat="false" ht="15" hidden="false" customHeight="true" outlineLevel="0" collapsed="false">
      <c r="A245" s="10" t="s">
        <v>127</v>
      </c>
      <c r="B245" s="11" t="n">
        <v>45458</v>
      </c>
      <c r="C245" s="10" t="s">
        <v>755</v>
      </c>
    </row>
    <row r="246" customFormat="false" ht="15" hidden="false" customHeight="true" outlineLevel="0" collapsed="false">
      <c r="A246" s="10" t="s">
        <v>131</v>
      </c>
      <c r="B246" s="11" t="n">
        <v>45394</v>
      </c>
      <c r="C246" s="10" t="s">
        <v>755</v>
      </c>
    </row>
    <row r="247" customFormat="false" ht="15" hidden="false" customHeight="true" outlineLevel="0" collapsed="false">
      <c r="A247" s="10" t="s">
        <v>131</v>
      </c>
      <c r="B247" s="11" t="n">
        <v>45395</v>
      </c>
      <c r="C247" s="10" t="s">
        <v>755</v>
      </c>
    </row>
    <row r="248" customFormat="false" ht="15" hidden="false" customHeight="true" outlineLevel="0" collapsed="false">
      <c r="A248" s="10" t="s">
        <v>131</v>
      </c>
      <c r="B248" s="11" t="n">
        <v>45396</v>
      </c>
      <c r="C248" s="10" t="s">
        <v>755</v>
      </c>
    </row>
    <row r="249" customFormat="false" ht="15" hidden="false" customHeight="true" outlineLevel="0" collapsed="false">
      <c r="A249" s="10" t="s">
        <v>131</v>
      </c>
      <c r="B249" s="11" t="n">
        <v>45398</v>
      </c>
      <c r="C249" s="10" t="s">
        <v>755</v>
      </c>
    </row>
    <row r="250" customFormat="false" ht="15" hidden="false" customHeight="true" outlineLevel="0" collapsed="false">
      <c r="A250" s="10" t="s">
        <v>131</v>
      </c>
      <c r="B250" s="11" t="n">
        <v>45400</v>
      </c>
      <c r="C250" s="10" t="s">
        <v>755</v>
      </c>
    </row>
    <row r="251" customFormat="false" ht="15" hidden="false" customHeight="true" outlineLevel="0" collapsed="false">
      <c r="A251" s="10" t="s">
        <v>131</v>
      </c>
      <c r="B251" s="11" t="n">
        <v>45402</v>
      </c>
      <c r="C251" s="10" t="s">
        <v>755</v>
      </c>
    </row>
    <row r="252" customFormat="false" ht="15" hidden="false" customHeight="true" outlineLevel="0" collapsed="false">
      <c r="A252" s="10" t="s">
        <v>131</v>
      </c>
      <c r="B252" s="11" t="n">
        <v>45405</v>
      </c>
      <c r="C252" s="10" t="s">
        <v>755</v>
      </c>
    </row>
    <row r="253" customFormat="false" ht="15" hidden="false" customHeight="true" outlineLevel="0" collapsed="false">
      <c r="A253" s="10" t="s">
        <v>131</v>
      </c>
      <c r="B253" s="11" t="n">
        <v>45407</v>
      </c>
      <c r="C253" s="10" t="s">
        <v>755</v>
      </c>
    </row>
    <row r="254" customFormat="false" ht="15" hidden="false" customHeight="true" outlineLevel="0" collapsed="false">
      <c r="A254" s="10" t="s">
        <v>131</v>
      </c>
      <c r="B254" s="11" t="n">
        <v>45408</v>
      </c>
      <c r="C254" s="10" t="s">
        <v>755</v>
      </c>
    </row>
    <row r="255" customFormat="false" ht="15" hidden="false" customHeight="true" outlineLevel="0" collapsed="false">
      <c r="A255" s="10" t="s">
        <v>131</v>
      </c>
      <c r="B255" s="11" t="n">
        <v>45409</v>
      </c>
      <c r="C255" s="10" t="s">
        <v>755</v>
      </c>
    </row>
    <row r="256" customFormat="false" ht="15" hidden="false" customHeight="true" outlineLevel="0" collapsed="false">
      <c r="A256" s="10" t="s">
        <v>131</v>
      </c>
      <c r="B256" s="11" t="n">
        <v>45412</v>
      </c>
      <c r="C256" s="10" t="s">
        <v>755</v>
      </c>
    </row>
    <row r="257" customFormat="false" ht="15" hidden="false" customHeight="true" outlineLevel="0" collapsed="false">
      <c r="A257" s="10" t="s">
        <v>131</v>
      </c>
      <c r="B257" s="11" t="n">
        <v>45413</v>
      </c>
      <c r="C257" s="10" t="s">
        <v>755</v>
      </c>
    </row>
    <row r="258" customFormat="false" ht="15" hidden="false" customHeight="true" outlineLevel="0" collapsed="false">
      <c r="A258" s="10" t="s">
        <v>131</v>
      </c>
      <c r="B258" s="11" t="n">
        <v>45416</v>
      </c>
      <c r="C258" s="10" t="s">
        <v>755</v>
      </c>
    </row>
    <row r="259" customFormat="false" ht="15" hidden="false" customHeight="true" outlineLevel="0" collapsed="false">
      <c r="A259" s="10" t="s">
        <v>131</v>
      </c>
      <c r="B259" s="11" t="n">
        <v>45417</v>
      </c>
      <c r="C259" s="10" t="s">
        <v>755</v>
      </c>
    </row>
    <row r="260" customFormat="false" ht="15" hidden="false" customHeight="true" outlineLevel="0" collapsed="false">
      <c r="A260" s="10" t="s">
        <v>131</v>
      </c>
      <c r="B260" s="11" t="n">
        <v>45421</v>
      </c>
      <c r="C260" s="10" t="s">
        <v>755</v>
      </c>
    </row>
    <row r="261" customFormat="false" ht="15" hidden="false" customHeight="true" outlineLevel="0" collapsed="false">
      <c r="A261" s="10" t="s">
        <v>131</v>
      </c>
      <c r="B261" s="11" t="n">
        <v>45422</v>
      </c>
      <c r="C261" s="10" t="s">
        <v>755</v>
      </c>
    </row>
    <row r="262" customFormat="false" ht="15" hidden="false" customHeight="true" outlineLevel="0" collapsed="false">
      <c r="A262" s="10" t="s">
        <v>131</v>
      </c>
      <c r="B262" s="11" t="n">
        <v>45423</v>
      </c>
      <c r="C262" s="10" t="s">
        <v>755</v>
      </c>
    </row>
    <row r="263" customFormat="false" ht="15" hidden="false" customHeight="true" outlineLevel="0" collapsed="false">
      <c r="A263" s="10" t="s">
        <v>131</v>
      </c>
      <c r="B263" s="11" t="n">
        <v>45426</v>
      </c>
      <c r="C263" s="10" t="s">
        <v>755</v>
      </c>
    </row>
    <row r="264" customFormat="false" ht="15" hidden="false" customHeight="true" outlineLevel="0" collapsed="false">
      <c r="A264" s="10" t="s">
        <v>131</v>
      </c>
      <c r="B264" s="11" t="n">
        <v>45430</v>
      </c>
      <c r="C264" s="10" t="s">
        <v>755</v>
      </c>
    </row>
    <row r="265" customFormat="false" ht="15" hidden="false" customHeight="true" outlineLevel="0" collapsed="false">
      <c r="A265" s="10" t="s">
        <v>131</v>
      </c>
      <c r="B265" s="11" t="n">
        <v>45431</v>
      </c>
      <c r="C265" s="10" t="s">
        <v>755</v>
      </c>
    </row>
    <row r="266" customFormat="false" ht="15" hidden="false" customHeight="true" outlineLevel="0" collapsed="false">
      <c r="A266" s="10" t="s">
        <v>131</v>
      </c>
      <c r="B266" s="11" t="n">
        <v>45437</v>
      </c>
      <c r="C266" s="10" t="s">
        <v>755</v>
      </c>
    </row>
    <row r="267" customFormat="false" ht="15" hidden="false" customHeight="true" outlineLevel="0" collapsed="false">
      <c r="A267" s="10" t="s">
        <v>131</v>
      </c>
      <c r="B267" s="11" t="n">
        <v>45438</v>
      </c>
      <c r="C267" s="10" t="s">
        <v>755</v>
      </c>
    </row>
    <row r="268" customFormat="false" ht="15" hidden="false" customHeight="true" outlineLevel="0" collapsed="false">
      <c r="A268" s="10" t="s">
        <v>131</v>
      </c>
      <c r="B268" s="11" t="n">
        <v>45444</v>
      </c>
      <c r="C268" s="10" t="s">
        <v>755</v>
      </c>
    </row>
    <row r="269" customFormat="false" ht="15" hidden="false" customHeight="true" outlineLevel="0" collapsed="false">
      <c r="A269" s="10" t="s">
        <v>131</v>
      </c>
      <c r="B269" s="11" t="n">
        <v>45445</v>
      </c>
      <c r="C269" s="10" t="s">
        <v>755</v>
      </c>
    </row>
    <row r="270" customFormat="false" ht="15" hidden="false" customHeight="true" outlineLevel="0" collapsed="false">
      <c r="A270" s="10" t="s">
        <v>131</v>
      </c>
      <c r="B270" s="11" t="n">
        <v>45452</v>
      </c>
      <c r="C270" s="10" t="s">
        <v>755</v>
      </c>
    </row>
    <row r="271" customFormat="false" ht="15" hidden="false" customHeight="true" outlineLevel="0" collapsed="false">
      <c r="A271" s="10" t="s">
        <v>131</v>
      </c>
      <c r="B271" s="11" t="n">
        <v>45458</v>
      </c>
      <c r="C271" s="10" t="s">
        <v>755</v>
      </c>
    </row>
    <row r="272" customFormat="false" ht="15" hidden="false" customHeight="true" outlineLevel="0" collapsed="false">
      <c r="A272" s="10" t="s">
        <v>135</v>
      </c>
      <c r="B272" s="11" t="n">
        <v>45395</v>
      </c>
      <c r="C272" s="10" t="s">
        <v>755</v>
      </c>
    </row>
    <row r="273" customFormat="false" ht="15" hidden="false" customHeight="true" outlineLevel="0" collapsed="false">
      <c r="A273" s="10" t="s">
        <v>135</v>
      </c>
      <c r="B273" s="11" t="n">
        <v>45409</v>
      </c>
      <c r="C273" s="10" t="s">
        <v>755</v>
      </c>
    </row>
    <row r="274" customFormat="false" ht="15" hidden="false" customHeight="true" outlineLevel="0" collapsed="false">
      <c r="A274" s="10" t="s">
        <v>135</v>
      </c>
      <c r="B274" s="11" t="n">
        <v>45415</v>
      </c>
      <c r="C274" s="10" t="s">
        <v>755</v>
      </c>
    </row>
    <row r="275" customFormat="false" ht="15" hidden="false" customHeight="true" outlineLevel="0" collapsed="false">
      <c r="A275" s="10" t="s">
        <v>135</v>
      </c>
      <c r="B275" s="11" t="n">
        <v>45423</v>
      </c>
      <c r="C275" s="10" t="s">
        <v>755</v>
      </c>
    </row>
    <row r="276" customFormat="false" ht="15" hidden="false" customHeight="true" outlineLevel="0" collapsed="false">
      <c r="A276" s="10" t="s">
        <v>135</v>
      </c>
      <c r="B276" s="11" t="n">
        <v>45430</v>
      </c>
      <c r="C276" s="10" t="s">
        <v>755</v>
      </c>
    </row>
    <row r="277" customFormat="false" ht="15" hidden="false" customHeight="true" outlineLevel="0" collapsed="false">
      <c r="A277" s="10" t="s">
        <v>135</v>
      </c>
      <c r="B277" s="11" t="n">
        <v>45437</v>
      </c>
      <c r="C277" s="10" t="s">
        <v>755</v>
      </c>
    </row>
    <row r="278" customFormat="false" ht="15" hidden="false" customHeight="true" outlineLevel="0" collapsed="false">
      <c r="A278" s="10" t="s">
        <v>135</v>
      </c>
      <c r="B278" s="11" t="n">
        <v>45438</v>
      </c>
      <c r="C278" s="10" t="s">
        <v>755</v>
      </c>
    </row>
    <row r="279" customFormat="false" ht="15" hidden="false" customHeight="true" outlineLevel="0" collapsed="false">
      <c r="A279" s="10" t="s">
        <v>135</v>
      </c>
      <c r="B279" s="11" t="n">
        <v>45445</v>
      </c>
      <c r="C279" s="10" t="s">
        <v>755</v>
      </c>
    </row>
    <row r="280" customFormat="false" ht="15" hidden="false" customHeight="true" outlineLevel="0" collapsed="false">
      <c r="A280" s="10" t="s">
        <v>135</v>
      </c>
      <c r="B280" s="11" t="n">
        <v>45458</v>
      </c>
      <c r="C280" s="10" t="s">
        <v>755</v>
      </c>
    </row>
    <row r="281" customFormat="false" ht="15" hidden="false" customHeight="true" outlineLevel="0" collapsed="false">
      <c r="A281" s="10" t="s">
        <v>135</v>
      </c>
      <c r="B281" s="11" t="n">
        <v>45472</v>
      </c>
      <c r="C281" s="10" t="s">
        <v>755</v>
      </c>
    </row>
    <row r="282" customFormat="false" ht="15" hidden="false" customHeight="true" outlineLevel="0" collapsed="false">
      <c r="A282" s="10" t="s">
        <v>140</v>
      </c>
      <c r="B282" s="11" t="n">
        <v>45394</v>
      </c>
      <c r="C282" s="10" t="s">
        <v>755</v>
      </c>
    </row>
    <row r="283" customFormat="false" ht="15" hidden="false" customHeight="true" outlineLevel="0" collapsed="false">
      <c r="A283" s="10" t="s">
        <v>140</v>
      </c>
      <c r="B283" s="11" t="n">
        <v>45396</v>
      </c>
      <c r="C283" s="10" t="s">
        <v>755</v>
      </c>
    </row>
    <row r="284" customFormat="false" ht="15" hidden="false" customHeight="true" outlineLevel="0" collapsed="false">
      <c r="A284" s="10" t="s">
        <v>140</v>
      </c>
      <c r="B284" s="11" t="n">
        <v>45403</v>
      </c>
      <c r="C284" s="10" t="s">
        <v>755</v>
      </c>
    </row>
    <row r="285" customFormat="false" ht="15" hidden="false" customHeight="true" outlineLevel="0" collapsed="false">
      <c r="A285" s="10" t="s">
        <v>140</v>
      </c>
      <c r="B285" s="11" t="n">
        <v>45408</v>
      </c>
      <c r="C285" s="10" t="s">
        <v>755</v>
      </c>
    </row>
    <row r="286" customFormat="false" ht="15" hidden="false" customHeight="true" outlineLevel="0" collapsed="false">
      <c r="A286" s="10" t="s">
        <v>140</v>
      </c>
      <c r="B286" s="11" t="n">
        <v>45409</v>
      </c>
      <c r="C286" s="10" t="s">
        <v>755</v>
      </c>
    </row>
    <row r="287" customFormat="false" ht="15" hidden="false" customHeight="true" outlineLevel="0" collapsed="false">
      <c r="A287" s="10" t="s">
        <v>140</v>
      </c>
      <c r="B287" s="11" t="n">
        <v>45423</v>
      </c>
      <c r="C287" s="10" t="s">
        <v>755</v>
      </c>
    </row>
    <row r="288" customFormat="false" ht="15" hidden="false" customHeight="true" outlineLevel="0" collapsed="false">
      <c r="A288" s="10" t="s">
        <v>140</v>
      </c>
      <c r="B288" s="11" t="n">
        <v>45430</v>
      </c>
      <c r="C288" s="10" t="s">
        <v>755</v>
      </c>
    </row>
    <row r="289" customFormat="false" ht="15" hidden="false" customHeight="true" outlineLevel="0" collapsed="false">
      <c r="A289" s="10" t="s">
        <v>140</v>
      </c>
      <c r="B289" s="11" t="n">
        <v>45437</v>
      </c>
      <c r="C289" s="10" t="s">
        <v>755</v>
      </c>
    </row>
    <row r="290" customFormat="false" ht="15" hidden="false" customHeight="true" outlineLevel="0" collapsed="false">
      <c r="A290" s="10" t="s">
        <v>140</v>
      </c>
      <c r="B290" s="11" t="n">
        <v>45459</v>
      </c>
      <c r="C290" s="10" t="s">
        <v>755</v>
      </c>
    </row>
    <row r="291" customFormat="false" ht="15" hidden="false" customHeight="true" outlineLevel="0" collapsed="false">
      <c r="A291" s="10" t="s">
        <v>143</v>
      </c>
      <c r="B291" s="11" t="n">
        <v>45415</v>
      </c>
      <c r="C291" s="10" t="s">
        <v>755</v>
      </c>
    </row>
    <row r="292" customFormat="false" ht="15" hidden="false" customHeight="true" outlineLevel="0" collapsed="false">
      <c r="A292" s="10" t="s">
        <v>143</v>
      </c>
      <c r="B292" s="11" t="n">
        <v>45416</v>
      </c>
      <c r="C292" s="10" t="s">
        <v>755</v>
      </c>
    </row>
    <row r="293" customFormat="false" ht="15" hidden="false" customHeight="true" outlineLevel="0" collapsed="false">
      <c r="A293" s="10" t="s">
        <v>143</v>
      </c>
      <c r="B293" s="11" t="n">
        <v>45423</v>
      </c>
      <c r="C293" s="10" t="s">
        <v>755</v>
      </c>
    </row>
    <row r="294" customFormat="false" ht="15" hidden="false" customHeight="true" outlineLevel="0" collapsed="false">
      <c r="A294" s="10" t="s">
        <v>143</v>
      </c>
      <c r="B294" s="11" t="n">
        <v>45436</v>
      </c>
      <c r="C294" s="10" t="s">
        <v>755</v>
      </c>
    </row>
    <row r="295" customFormat="false" ht="15" hidden="false" customHeight="true" outlineLevel="0" collapsed="false">
      <c r="A295" s="10" t="s">
        <v>143</v>
      </c>
      <c r="B295" s="11" t="n">
        <v>45437</v>
      </c>
      <c r="C295" s="10" t="s">
        <v>755</v>
      </c>
    </row>
    <row r="296" customFormat="false" ht="15" hidden="false" customHeight="true" outlineLevel="0" collapsed="false">
      <c r="A296" s="10" t="s">
        <v>143</v>
      </c>
      <c r="B296" s="11" t="n">
        <v>45451</v>
      </c>
      <c r="C296" s="10" t="s">
        <v>755</v>
      </c>
    </row>
    <row r="297" customFormat="false" ht="15" hidden="false" customHeight="true" outlineLevel="0" collapsed="false">
      <c r="A297" s="10" t="s">
        <v>147</v>
      </c>
      <c r="B297" s="11" t="n">
        <v>45417</v>
      </c>
      <c r="C297" s="10" t="s">
        <v>755</v>
      </c>
    </row>
    <row r="298" customFormat="false" ht="15" hidden="false" customHeight="true" outlineLevel="0" collapsed="false">
      <c r="A298" s="10" t="s">
        <v>147</v>
      </c>
      <c r="B298" s="11" t="n">
        <v>45423</v>
      </c>
      <c r="C298" s="10" t="s">
        <v>755</v>
      </c>
    </row>
    <row r="299" customFormat="false" ht="15" hidden="false" customHeight="true" outlineLevel="0" collapsed="false">
      <c r="A299" s="10" t="s">
        <v>147</v>
      </c>
      <c r="B299" s="11" t="n">
        <v>45430</v>
      </c>
      <c r="C299" s="10" t="s">
        <v>755</v>
      </c>
    </row>
    <row r="300" customFormat="false" ht="15" hidden="false" customHeight="true" outlineLevel="0" collapsed="false">
      <c r="A300" s="10" t="s">
        <v>147</v>
      </c>
      <c r="B300" s="11" t="n">
        <v>45431</v>
      </c>
      <c r="C300" s="10" t="s">
        <v>755</v>
      </c>
    </row>
    <row r="301" customFormat="false" ht="15" hidden="false" customHeight="true" outlineLevel="0" collapsed="false">
      <c r="A301" s="10" t="s">
        <v>147</v>
      </c>
      <c r="B301" s="11" t="n">
        <v>45451</v>
      </c>
      <c r="C301" s="10" t="s">
        <v>755</v>
      </c>
    </row>
    <row r="302" customFormat="false" ht="15" hidden="false" customHeight="true" outlineLevel="0" collapsed="false">
      <c r="A302" s="10" t="s">
        <v>147</v>
      </c>
      <c r="B302" s="11" t="n">
        <v>45452</v>
      </c>
      <c r="C302" s="10" t="s">
        <v>755</v>
      </c>
    </row>
    <row r="303" customFormat="false" ht="15" hidden="false" customHeight="true" outlineLevel="0" collapsed="false">
      <c r="A303" s="10" t="s">
        <v>147</v>
      </c>
      <c r="B303" s="11" t="n">
        <v>45458</v>
      </c>
      <c r="C303" s="10" t="s">
        <v>755</v>
      </c>
    </row>
    <row r="304" customFormat="false" ht="15" hidden="false" customHeight="true" outlineLevel="0" collapsed="false">
      <c r="A304" s="10" t="s">
        <v>147</v>
      </c>
      <c r="B304" s="11" t="n">
        <v>45460</v>
      </c>
      <c r="C304" s="10" t="s">
        <v>755</v>
      </c>
    </row>
    <row r="305" customFormat="false" ht="15" hidden="false" customHeight="true" outlineLevel="0" collapsed="false">
      <c r="A305" s="10" t="s">
        <v>153</v>
      </c>
      <c r="B305" s="11" t="n">
        <v>45418</v>
      </c>
      <c r="C305" s="10" t="s">
        <v>756</v>
      </c>
    </row>
    <row r="306" customFormat="false" ht="15" hidden="false" customHeight="true" outlineLevel="0" collapsed="false">
      <c r="A306" s="10" t="s">
        <v>153</v>
      </c>
      <c r="B306" s="11" t="n">
        <v>45419</v>
      </c>
      <c r="C306" s="10" t="s">
        <v>756</v>
      </c>
    </row>
    <row r="307" customFormat="false" ht="15" hidden="false" customHeight="true" outlineLevel="0" collapsed="false">
      <c r="A307" s="10" t="s">
        <v>153</v>
      </c>
      <c r="B307" s="11" t="n">
        <v>45421</v>
      </c>
      <c r="C307" s="10" t="s">
        <v>756</v>
      </c>
    </row>
    <row r="308" customFormat="false" ht="15" hidden="false" customHeight="true" outlineLevel="0" collapsed="false">
      <c r="A308" s="10" t="s">
        <v>153</v>
      </c>
      <c r="B308" s="11" t="n">
        <v>45452</v>
      </c>
      <c r="C308" s="10" t="s">
        <v>756</v>
      </c>
    </row>
    <row r="309" customFormat="false" ht="15" hidden="false" customHeight="true" outlineLevel="0" collapsed="false">
      <c r="A309" s="10" t="s">
        <v>153</v>
      </c>
      <c r="B309" s="11" t="n">
        <v>45453</v>
      </c>
      <c r="C309" s="10" t="s">
        <v>756</v>
      </c>
    </row>
    <row r="310" customFormat="false" ht="15" hidden="false" customHeight="true" outlineLevel="0" collapsed="false">
      <c r="A310" s="10" t="s">
        <v>153</v>
      </c>
      <c r="B310" s="11" t="n">
        <v>45455</v>
      </c>
      <c r="C310" s="10" t="s">
        <v>756</v>
      </c>
    </row>
    <row r="311" customFormat="false" ht="15" hidden="false" customHeight="true" outlineLevel="0" collapsed="false">
      <c r="A311" s="10" t="s">
        <v>153</v>
      </c>
      <c r="B311" s="11" t="n">
        <v>45460</v>
      </c>
      <c r="C311" s="10" t="s">
        <v>756</v>
      </c>
    </row>
    <row r="312" customFormat="false" ht="15" hidden="false" customHeight="true" outlineLevel="0" collapsed="false">
      <c r="A312" s="10" t="s">
        <v>153</v>
      </c>
      <c r="B312" s="11" t="n">
        <v>45462</v>
      </c>
      <c r="C312" s="10" t="s">
        <v>756</v>
      </c>
    </row>
    <row r="313" customFormat="false" ht="15" hidden="false" customHeight="true" outlineLevel="0" collapsed="false">
      <c r="A313" s="10" t="s">
        <v>158</v>
      </c>
      <c r="B313" s="11" t="n">
        <v>45418</v>
      </c>
      <c r="C313" s="10" t="s">
        <v>755</v>
      </c>
    </row>
    <row r="314" customFormat="false" ht="15" hidden="false" customHeight="true" outlineLevel="0" collapsed="false">
      <c r="A314" s="10" t="s">
        <v>158</v>
      </c>
      <c r="B314" s="11" t="n">
        <v>45419</v>
      </c>
      <c r="C314" s="10" t="s">
        <v>755</v>
      </c>
    </row>
    <row r="315" customFormat="false" ht="15" hidden="false" customHeight="true" outlineLevel="0" collapsed="false">
      <c r="A315" s="10" t="s">
        <v>158</v>
      </c>
      <c r="B315" s="11" t="n">
        <v>45420</v>
      </c>
      <c r="C315" s="10" t="s">
        <v>755</v>
      </c>
    </row>
    <row r="316" customFormat="false" ht="15" hidden="false" customHeight="true" outlineLevel="0" collapsed="false">
      <c r="A316" s="10" t="s">
        <v>158</v>
      </c>
      <c r="B316" s="11" t="n">
        <v>45421</v>
      </c>
      <c r="C316" s="10" t="s">
        <v>755</v>
      </c>
    </row>
    <row r="317" customFormat="false" ht="15" hidden="false" customHeight="true" outlineLevel="0" collapsed="false">
      <c r="A317" s="10" t="s">
        <v>158</v>
      </c>
      <c r="B317" s="11" t="n">
        <v>45422</v>
      </c>
      <c r="C317" s="10" t="s">
        <v>755</v>
      </c>
    </row>
    <row r="318" customFormat="false" ht="15" hidden="false" customHeight="true" outlineLevel="0" collapsed="false">
      <c r="A318" s="10" t="s">
        <v>158</v>
      </c>
      <c r="B318" s="11" t="n">
        <v>45432</v>
      </c>
      <c r="C318" s="10" t="s">
        <v>755</v>
      </c>
    </row>
    <row r="319" customFormat="false" ht="15" hidden="false" customHeight="true" outlineLevel="0" collapsed="false">
      <c r="A319" s="10" t="s">
        <v>158</v>
      </c>
      <c r="B319" s="11" t="n">
        <v>45433</v>
      </c>
      <c r="C319" s="10" t="s">
        <v>755</v>
      </c>
    </row>
    <row r="320" customFormat="false" ht="15" hidden="false" customHeight="true" outlineLevel="0" collapsed="false">
      <c r="A320" s="10" t="s">
        <v>158</v>
      </c>
      <c r="B320" s="11" t="n">
        <v>45434</v>
      </c>
      <c r="C320" s="10" t="s">
        <v>755</v>
      </c>
    </row>
    <row r="321" customFormat="false" ht="15" hidden="false" customHeight="true" outlineLevel="0" collapsed="false">
      <c r="A321" s="10" t="s">
        <v>158</v>
      </c>
      <c r="B321" s="11" t="n">
        <v>45435</v>
      </c>
      <c r="C321" s="10" t="s">
        <v>755</v>
      </c>
    </row>
    <row r="322" customFormat="false" ht="15" hidden="false" customHeight="true" outlineLevel="0" collapsed="false">
      <c r="A322" s="10" t="s">
        <v>158</v>
      </c>
      <c r="B322" s="11" t="n">
        <v>45453</v>
      </c>
      <c r="C322" s="10" t="s">
        <v>755</v>
      </c>
    </row>
    <row r="323" customFormat="false" ht="15" hidden="false" customHeight="true" outlineLevel="0" collapsed="false">
      <c r="A323" s="10" t="s">
        <v>158</v>
      </c>
      <c r="B323" s="11" t="n">
        <v>45454</v>
      </c>
      <c r="C323" s="10" t="s">
        <v>755</v>
      </c>
    </row>
    <row r="324" customFormat="false" ht="15" hidden="false" customHeight="true" outlineLevel="0" collapsed="false">
      <c r="A324" s="10" t="s">
        <v>158</v>
      </c>
      <c r="B324" s="11" t="n">
        <v>45455</v>
      </c>
      <c r="C324" s="10" t="s">
        <v>755</v>
      </c>
    </row>
    <row r="325" customFormat="false" ht="15" hidden="false" customHeight="true" outlineLevel="0" collapsed="false">
      <c r="A325" s="10" t="s">
        <v>158</v>
      </c>
      <c r="B325" s="11" t="n">
        <v>45456</v>
      </c>
      <c r="C325" s="10" t="s">
        <v>755</v>
      </c>
    </row>
    <row r="326" customFormat="false" ht="15" hidden="false" customHeight="true" outlineLevel="0" collapsed="false">
      <c r="A326" s="10" t="s">
        <v>158</v>
      </c>
      <c r="B326" s="11" t="n">
        <v>45457</v>
      </c>
      <c r="C326" s="10" t="s">
        <v>755</v>
      </c>
    </row>
    <row r="327" customFormat="false" ht="15" hidden="false" customHeight="true" outlineLevel="0" collapsed="false">
      <c r="A327" s="10" t="s">
        <v>158</v>
      </c>
      <c r="B327" s="11" t="n">
        <v>45461</v>
      </c>
      <c r="C327" s="10" t="s">
        <v>755</v>
      </c>
    </row>
    <row r="328" customFormat="false" ht="15" hidden="false" customHeight="true" outlineLevel="0" collapsed="false">
      <c r="A328" s="10" t="s">
        <v>158</v>
      </c>
      <c r="B328" s="11" t="n">
        <v>45462</v>
      </c>
      <c r="C328" s="10" t="s">
        <v>755</v>
      </c>
    </row>
    <row r="329" customFormat="false" ht="15" hidden="false" customHeight="true" outlineLevel="0" collapsed="false">
      <c r="A329" s="10" t="s">
        <v>158</v>
      </c>
      <c r="B329" s="11" t="n">
        <v>45463</v>
      </c>
      <c r="C329" s="10" t="s">
        <v>755</v>
      </c>
    </row>
    <row r="330" customFormat="false" ht="15" hidden="false" customHeight="true" outlineLevel="0" collapsed="false">
      <c r="A330" s="10" t="s">
        <v>158</v>
      </c>
      <c r="B330" s="11" t="n">
        <v>45464</v>
      </c>
      <c r="C330" s="10" t="s">
        <v>755</v>
      </c>
    </row>
    <row r="331" customFormat="false" ht="15" hidden="false" customHeight="true" outlineLevel="0" collapsed="false">
      <c r="A331" s="10" t="s">
        <v>162</v>
      </c>
      <c r="B331" s="11" t="n">
        <v>45425</v>
      </c>
      <c r="C331" s="10" t="s">
        <v>755</v>
      </c>
    </row>
    <row r="332" customFormat="false" ht="15" hidden="false" customHeight="true" outlineLevel="0" collapsed="false">
      <c r="A332" s="10" t="s">
        <v>162</v>
      </c>
      <c r="B332" s="11" t="n">
        <v>45426</v>
      </c>
      <c r="C332" s="10" t="s">
        <v>755</v>
      </c>
    </row>
    <row r="333" customFormat="false" ht="15" hidden="false" customHeight="true" outlineLevel="0" collapsed="false">
      <c r="A333" s="10" t="s">
        <v>162</v>
      </c>
      <c r="B333" s="11" t="n">
        <v>45428</v>
      </c>
      <c r="C333" s="10" t="s">
        <v>755</v>
      </c>
    </row>
    <row r="334" customFormat="false" ht="15" hidden="false" customHeight="true" outlineLevel="0" collapsed="false">
      <c r="A334" s="10" t="s">
        <v>166</v>
      </c>
      <c r="B334" s="11" t="n">
        <v>45418</v>
      </c>
      <c r="C334" s="10" t="s">
        <v>755</v>
      </c>
    </row>
    <row r="335" customFormat="false" ht="15" hidden="false" customHeight="true" outlineLevel="0" collapsed="false">
      <c r="A335" s="10" t="s">
        <v>166</v>
      </c>
      <c r="B335" s="11" t="n">
        <v>45419</v>
      </c>
      <c r="C335" s="10" t="s">
        <v>755</v>
      </c>
    </row>
    <row r="336" customFormat="false" ht="15" hidden="false" customHeight="true" outlineLevel="0" collapsed="false">
      <c r="A336" s="10" t="s">
        <v>166</v>
      </c>
      <c r="B336" s="11" t="n">
        <v>45420</v>
      </c>
      <c r="C336" s="10" t="s">
        <v>755</v>
      </c>
    </row>
    <row r="337" customFormat="false" ht="15" hidden="false" customHeight="true" outlineLevel="0" collapsed="false">
      <c r="A337" s="10" t="s">
        <v>166</v>
      </c>
      <c r="B337" s="11" t="n">
        <v>45421</v>
      </c>
      <c r="C337" s="10" t="s">
        <v>755</v>
      </c>
    </row>
    <row r="338" customFormat="false" ht="15" hidden="false" customHeight="true" outlineLevel="0" collapsed="false">
      <c r="A338" s="10" t="s">
        <v>166</v>
      </c>
      <c r="B338" s="11" t="n">
        <v>45422</v>
      </c>
      <c r="C338" s="10" t="s">
        <v>755</v>
      </c>
    </row>
    <row r="339" customFormat="false" ht="15" hidden="false" customHeight="true" outlineLevel="0" collapsed="false">
      <c r="A339" s="10" t="s">
        <v>166</v>
      </c>
      <c r="B339" s="11" t="n">
        <v>45432</v>
      </c>
      <c r="C339" s="10" t="s">
        <v>755</v>
      </c>
    </row>
    <row r="340" customFormat="false" ht="15" hidden="false" customHeight="true" outlineLevel="0" collapsed="false">
      <c r="A340" s="10" t="s">
        <v>166</v>
      </c>
      <c r="B340" s="11" t="n">
        <v>45433</v>
      </c>
      <c r="C340" s="10" t="s">
        <v>755</v>
      </c>
    </row>
    <row r="341" customFormat="false" ht="15" hidden="false" customHeight="true" outlineLevel="0" collapsed="false">
      <c r="A341" s="10" t="s">
        <v>166</v>
      </c>
      <c r="B341" s="11" t="n">
        <v>45434</v>
      </c>
      <c r="C341" s="10" t="s">
        <v>755</v>
      </c>
    </row>
    <row r="342" customFormat="false" ht="15" hidden="false" customHeight="true" outlineLevel="0" collapsed="false">
      <c r="A342" s="10" t="s">
        <v>166</v>
      </c>
      <c r="B342" s="11" t="n">
        <v>45435</v>
      </c>
      <c r="C342" s="10" t="s">
        <v>755</v>
      </c>
    </row>
    <row r="343" customFormat="false" ht="15" hidden="false" customHeight="true" outlineLevel="0" collapsed="false">
      <c r="A343" s="10" t="s">
        <v>166</v>
      </c>
      <c r="B343" s="11" t="n">
        <v>45453</v>
      </c>
      <c r="C343" s="10" t="s">
        <v>755</v>
      </c>
    </row>
    <row r="344" customFormat="false" ht="15" hidden="false" customHeight="true" outlineLevel="0" collapsed="false">
      <c r="A344" s="10" t="s">
        <v>166</v>
      </c>
      <c r="B344" s="11" t="n">
        <v>45454</v>
      </c>
      <c r="C344" s="10" t="s">
        <v>755</v>
      </c>
    </row>
    <row r="345" customFormat="false" ht="15" hidden="false" customHeight="true" outlineLevel="0" collapsed="false">
      <c r="A345" s="10" t="s">
        <v>166</v>
      </c>
      <c r="B345" s="11" t="n">
        <v>45455</v>
      </c>
      <c r="C345" s="10" t="s">
        <v>755</v>
      </c>
    </row>
    <row r="346" customFormat="false" ht="15" hidden="false" customHeight="true" outlineLevel="0" collapsed="false">
      <c r="A346" s="10" t="s">
        <v>166</v>
      </c>
      <c r="B346" s="11" t="n">
        <v>45456</v>
      </c>
      <c r="C346" s="10" t="s">
        <v>755</v>
      </c>
    </row>
    <row r="347" customFormat="false" ht="15" hidden="false" customHeight="true" outlineLevel="0" collapsed="false">
      <c r="A347" s="10" t="s">
        <v>166</v>
      </c>
      <c r="B347" s="11" t="n">
        <v>45457</v>
      </c>
      <c r="C347" s="10" t="s">
        <v>755</v>
      </c>
    </row>
    <row r="348" customFormat="false" ht="15" hidden="false" customHeight="true" outlineLevel="0" collapsed="false">
      <c r="A348" s="10" t="s">
        <v>166</v>
      </c>
      <c r="B348" s="11" t="n">
        <v>45461</v>
      </c>
      <c r="C348" s="10" t="s">
        <v>755</v>
      </c>
    </row>
    <row r="349" customFormat="false" ht="15" hidden="false" customHeight="true" outlineLevel="0" collapsed="false">
      <c r="A349" s="10" t="s">
        <v>166</v>
      </c>
      <c r="B349" s="11" t="n">
        <v>45462</v>
      </c>
      <c r="C349" s="10" t="s">
        <v>755</v>
      </c>
    </row>
    <row r="350" customFormat="false" ht="15" hidden="false" customHeight="true" outlineLevel="0" collapsed="false">
      <c r="A350" s="10" t="s">
        <v>166</v>
      </c>
      <c r="B350" s="11" t="n">
        <v>45463</v>
      </c>
      <c r="C350" s="10" t="s">
        <v>755</v>
      </c>
    </row>
    <row r="351" customFormat="false" ht="15" hidden="false" customHeight="true" outlineLevel="0" collapsed="false">
      <c r="A351" s="10" t="s">
        <v>166</v>
      </c>
      <c r="B351" s="11" t="n">
        <v>45464</v>
      </c>
      <c r="C351" s="10" t="s">
        <v>755</v>
      </c>
    </row>
    <row r="352" customFormat="false" ht="15" hidden="false" customHeight="true" outlineLevel="0" collapsed="false">
      <c r="A352" s="10" t="s">
        <v>169</v>
      </c>
      <c r="B352" s="11" t="n">
        <v>45432</v>
      </c>
      <c r="C352" s="10" t="s">
        <v>755</v>
      </c>
    </row>
    <row r="353" customFormat="false" ht="15" hidden="false" customHeight="true" outlineLevel="0" collapsed="false">
      <c r="A353" s="10" t="s">
        <v>169</v>
      </c>
      <c r="B353" s="11" t="n">
        <v>45433</v>
      </c>
      <c r="C353" s="10" t="s">
        <v>755</v>
      </c>
    </row>
    <row r="354" customFormat="false" ht="15" hidden="false" customHeight="true" outlineLevel="0" collapsed="false">
      <c r="A354" s="10" t="s">
        <v>169</v>
      </c>
      <c r="B354" s="11" t="n">
        <v>45434</v>
      </c>
      <c r="C354" s="10" t="s">
        <v>755</v>
      </c>
    </row>
    <row r="355" customFormat="false" ht="15" hidden="false" customHeight="true" outlineLevel="0" collapsed="false">
      <c r="A355" s="10" t="s">
        <v>169</v>
      </c>
      <c r="B355" s="11" t="n">
        <v>45435</v>
      </c>
      <c r="C355" s="10" t="s">
        <v>755</v>
      </c>
    </row>
    <row r="356" customFormat="false" ht="15" hidden="false" customHeight="true" outlineLevel="0" collapsed="false">
      <c r="A356" s="10" t="s">
        <v>169</v>
      </c>
      <c r="B356" s="11" t="n">
        <v>45461</v>
      </c>
      <c r="C356" s="10" t="s">
        <v>755</v>
      </c>
    </row>
    <row r="357" customFormat="false" ht="15" hidden="false" customHeight="true" outlineLevel="0" collapsed="false">
      <c r="A357" s="10" t="s">
        <v>169</v>
      </c>
      <c r="B357" s="11" t="n">
        <v>45462</v>
      </c>
      <c r="C357" s="10" t="s">
        <v>755</v>
      </c>
    </row>
    <row r="358" customFormat="false" ht="15" hidden="false" customHeight="true" outlineLevel="0" collapsed="false">
      <c r="A358" s="10" t="s">
        <v>169</v>
      </c>
      <c r="B358" s="11" t="n">
        <v>45463</v>
      </c>
      <c r="C358" s="10" t="s">
        <v>755</v>
      </c>
    </row>
    <row r="359" customFormat="false" ht="15" hidden="false" customHeight="true" outlineLevel="0" collapsed="false">
      <c r="A359" s="10" t="s">
        <v>169</v>
      </c>
      <c r="B359" s="11" t="n">
        <v>45464</v>
      </c>
      <c r="C359" s="10" t="s">
        <v>755</v>
      </c>
    </row>
    <row r="360" customFormat="false" ht="15" hidden="false" customHeight="true" outlineLevel="0" collapsed="false">
      <c r="A360" s="10" t="s">
        <v>172</v>
      </c>
      <c r="B360" s="11" t="n">
        <v>45418</v>
      </c>
      <c r="C360" s="10" t="s">
        <v>755</v>
      </c>
    </row>
    <row r="361" customFormat="false" ht="15" hidden="false" customHeight="true" outlineLevel="0" collapsed="false">
      <c r="A361" s="10" t="s">
        <v>172</v>
      </c>
      <c r="B361" s="11" t="n">
        <v>45419</v>
      </c>
      <c r="C361" s="10" t="s">
        <v>755</v>
      </c>
    </row>
    <row r="362" customFormat="false" ht="15" hidden="false" customHeight="true" outlineLevel="0" collapsed="false">
      <c r="A362" s="10" t="s">
        <v>172</v>
      </c>
      <c r="B362" s="11" t="n">
        <v>45420</v>
      </c>
      <c r="C362" s="10" t="s">
        <v>755</v>
      </c>
    </row>
    <row r="363" customFormat="false" ht="15" hidden="false" customHeight="true" outlineLevel="0" collapsed="false">
      <c r="A363" s="10" t="s">
        <v>172</v>
      </c>
      <c r="B363" s="11" t="n">
        <v>45421</v>
      </c>
      <c r="C363" s="10" t="s">
        <v>755</v>
      </c>
    </row>
    <row r="364" customFormat="false" ht="15" hidden="false" customHeight="true" outlineLevel="0" collapsed="false">
      <c r="A364" s="10" t="s">
        <v>172</v>
      </c>
      <c r="B364" s="11" t="n">
        <v>45422</v>
      </c>
      <c r="C364" s="10" t="s">
        <v>755</v>
      </c>
    </row>
    <row r="365" customFormat="false" ht="15" hidden="false" customHeight="true" outlineLevel="0" collapsed="false">
      <c r="A365" s="10" t="s">
        <v>172</v>
      </c>
      <c r="B365" s="11" t="n">
        <v>45425</v>
      </c>
      <c r="C365" s="10" t="s">
        <v>755</v>
      </c>
    </row>
    <row r="366" customFormat="false" ht="15" hidden="false" customHeight="true" outlineLevel="0" collapsed="false">
      <c r="A366" s="10" t="s">
        <v>172</v>
      </c>
      <c r="B366" s="11" t="n">
        <v>45426</v>
      </c>
      <c r="C366" s="10" t="s">
        <v>755</v>
      </c>
    </row>
    <row r="367" customFormat="false" ht="15" hidden="false" customHeight="true" outlineLevel="0" collapsed="false">
      <c r="A367" s="10" t="s">
        <v>172</v>
      </c>
      <c r="B367" s="11" t="n">
        <v>45427</v>
      </c>
      <c r="C367" s="10" t="s">
        <v>755</v>
      </c>
    </row>
    <row r="368" customFormat="false" ht="15" hidden="false" customHeight="true" outlineLevel="0" collapsed="false">
      <c r="A368" s="10" t="s">
        <v>172</v>
      </c>
      <c r="B368" s="11" t="n">
        <v>45428</v>
      </c>
      <c r="C368" s="10" t="s">
        <v>755</v>
      </c>
    </row>
    <row r="369" customFormat="false" ht="15" hidden="false" customHeight="true" outlineLevel="0" collapsed="false">
      <c r="A369" s="10" t="s">
        <v>172</v>
      </c>
      <c r="B369" s="11" t="n">
        <v>45429</v>
      </c>
      <c r="C369" s="10" t="s">
        <v>755</v>
      </c>
    </row>
    <row r="370" customFormat="false" ht="15" hidden="false" customHeight="true" outlineLevel="0" collapsed="false">
      <c r="A370" s="10" t="s">
        <v>172</v>
      </c>
      <c r="B370" s="11" t="n">
        <v>45432</v>
      </c>
      <c r="C370" s="10" t="s">
        <v>755</v>
      </c>
    </row>
    <row r="371" customFormat="false" ht="15" hidden="false" customHeight="true" outlineLevel="0" collapsed="false">
      <c r="A371" s="10" t="s">
        <v>172</v>
      </c>
      <c r="B371" s="11" t="n">
        <v>45433</v>
      </c>
      <c r="C371" s="10" t="s">
        <v>755</v>
      </c>
    </row>
    <row r="372" customFormat="false" ht="15" hidden="false" customHeight="true" outlineLevel="0" collapsed="false">
      <c r="A372" s="10" t="s">
        <v>172</v>
      </c>
      <c r="B372" s="11" t="n">
        <v>45434</v>
      </c>
      <c r="C372" s="10" t="s">
        <v>755</v>
      </c>
    </row>
    <row r="373" customFormat="false" ht="15" hidden="false" customHeight="true" outlineLevel="0" collapsed="false">
      <c r="A373" s="10" t="s">
        <v>172</v>
      </c>
      <c r="B373" s="11" t="n">
        <v>45435</v>
      </c>
      <c r="C373" s="10" t="s">
        <v>755</v>
      </c>
    </row>
    <row r="374" customFormat="false" ht="15" hidden="false" customHeight="true" outlineLevel="0" collapsed="false">
      <c r="A374" s="10" t="s">
        <v>172</v>
      </c>
      <c r="B374" s="11" t="n">
        <v>45461</v>
      </c>
      <c r="C374" s="10" t="s">
        <v>755</v>
      </c>
    </row>
    <row r="375" customFormat="false" ht="15" hidden="false" customHeight="true" outlineLevel="0" collapsed="false">
      <c r="A375" s="10" t="s">
        <v>172</v>
      </c>
      <c r="B375" s="11" t="n">
        <v>45462</v>
      </c>
      <c r="C375" s="10" t="s">
        <v>755</v>
      </c>
    </row>
    <row r="376" customFormat="false" ht="15" hidden="false" customHeight="true" outlineLevel="0" collapsed="false">
      <c r="A376" s="10" t="s">
        <v>172</v>
      </c>
      <c r="B376" s="11" t="n">
        <v>45463</v>
      </c>
      <c r="C376" s="10" t="s">
        <v>755</v>
      </c>
    </row>
    <row r="377" customFormat="false" ht="15" hidden="false" customHeight="true" outlineLevel="0" collapsed="false">
      <c r="A377" s="10" t="s">
        <v>172</v>
      </c>
      <c r="B377" s="11" t="n">
        <v>45464</v>
      </c>
      <c r="C377" s="10" t="s">
        <v>755</v>
      </c>
    </row>
    <row r="378" customFormat="false" ht="15" hidden="false" customHeight="true" outlineLevel="0" collapsed="false">
      <c r="A378" s="10" t="s">
        <v>176</v>
      </c>
      <c r="B378" s="11" t="n">
        <v>45418</v>
      </c>
      <c r="C378" s="10" t="s">
        <v>755</v>
      </c>
    </row>
    <row r="379" customFormat="false" ht="15" hidden="false" customHeight="true" outlineLevel="0" collapsed="false">
      <c r="A379" s="10" t="s">
        <v>176</v>
      </c>
      <c r="B379" s="11" t="n">
        <v>45419</v>
      </c>
      <c r="C379" s="10" t="s">
        <v>755</v>
      </c>
    </row>
    <row r="380" customFormat="false" ht="15" hidden="false" customHeight="true" outlineLevel="0" collapsed="false">
      <c r="A380" s="10" t="s">
        <v>176</v>
      </c>
      <c r="B380" s="11" t="n">
        <v>45421</v>
      </c>
      <c r="C380" s="10" t="s">
        <v>755</v>
      </c>
    </row>
    <row r="381" customFormat="false" ht="15" hidden="false" customHeight="true" outlineLevel="0" collapsed="false">
      <c r="A381" s="10" t="s">
        <v>176</v>
      </c>
      <c r="B381" s="11" t="n">
        <v>45425</v>
      </c>
      <c r="C381" s="10" t="s">
        <v>755</v>
      </c>
    </row>
    <row r="382" customFormat="false" ht="15" hidden="false" customHeight="true" outlineLevel="0" collapsed="false">
      <c r="A382" s="10" t="s">
        <v>176</v>
      </c>
      <c r="B382" s="11" t="n">
        <v>45426</v>
      </c>
      <c r="C382" s="10" t="s">
        <v>755</v>
      </c>
    </row>
    <row r="383" customFormat="false" ht="15" hidden="false" customHeight="true" outlineLevel="0" collapsed="false">
      <c r="A383" s="10" t="s">
        <v>176</v>
      </c>
      <c r="B383" s="11" t="n">
        <v>45428</v>
      </c>
      <c r="C383" s="10" t="s">
        <v>755</v>
      </c>
    </row>
    <row r="384" customFormat="false" ht="15" hidden="false" customHeight="true" outlineLevel="0" collapsed="false">
      <c r="A384" s="10" t="s">
        <v>176</v>
      </c>
      <c r="B384" s="11" t="n">
        <v>45452</v>
      </c>
      <c r="C384" s="10" t="s">
        <v>755</v>
      </c>
    </row>
    <row r="385" customFormat="false" ht="15" hidden="false" customHeight="true" outlineLevel="0" collapsed="false">
      <c r="A385" s="10" t="s">
        <v>176</v>
      </c>
      <c r="B385" s="11" t="n">
        <v>45453</v>
      </c>
      <c r="C385" s="10" t="s">
        <v>755</v>
      </c>
    </row>
    <row r="386" customFormat="false" ht="15" hidden="false" customHeight="true" outlineLevel="0" collapsed="false">
      <c r="A386" s="10" t="s">
        <v>176</v>
      </c>
      <c r="B386" s="11" t="n">
        <v>45455</v>
      </c>
      <c r="C386" s="10" t="s">
        <v>755</v>
      </c>
    </row>
    <row r="387" customFormat="false" ht="15" hidden="false" customHeight="true" outlineLevel="0" collapsed="false">
      <c r="A387" s="10" t="s">
        <v>179</v>
      </c>
      <c r="B387" s="11" t="n">
        <v>45423</v>
      </c>
      <c r="C387" s="10" t="s">
        <v>755</v>
      </c>
    </row>
    <row r="388" customFormat="false" ht="15" hidden="false" customHeight="true" outlineLevel="0" collapsed="false">
      <c r="A388" s="10" t="s">
        <v>179</v>
      </c>
      <c r="B388" s="11" t="n">
        <v>45430</v>
      </c>
      <c r="C388" s="10" t="s">
        <v>755</v>
      </c>
    </row>
    <row r="389" customFormat="false" ht="15" hidden="false" customHeight="true" outlineLevel="0" collapsed="false">
      <c r="A389" s="10" t="s">
        <v>179</v>
      </c>
      <c r="B389" s="11" t="n">
        <v>45431</v>
      </c>
      <c r="C389" s="10" t="s">
        <v>755</v>
      </c>
    </row>
    <row r="390" customFormat="false" ht="15" hidden="false" customHeight="true" outlineLevel="0" collapsed="false">
      <c r="A390" s="10" t="s">
        <v>179</v>
      </c>
      <c r="B390" s="11" t="n">
        <v>45458</v>
      </c>
      <c r="C390" s="10" t="s">
        <v>755</v>
      </c>
    </row>
    <row r="391" customFormat="false" ht="15" hidden="false" customHeight="true" outlineLevel="0" collapsed="false">
      <c r="A391" s="10" t="s">
        <v>179</v>
      </c>
      <c r="B391" s="11" t="n">
        <v>45460</v>
      </c>
      <c r="C391" s="10" t="s">
        <v>755</v>
      </c>
    </row>
    <row r="392" customFormat="false" ht="15" hidden="false" customHeight="true" outlineLevel="0" collapsed="false">
      <c r="A392" s="10" t="s">
        <v>183</v>
      </c>
      <c r="B392" s="11" t="n">
        <v>45425</v>
      </c>
      <c r="C392" s="10" t="s">
        <v>755</v>
      </c>
    </row>
    <row r="393" customFormat="false" ht="15" hidden="false" customHeight="true" outlineLevel="0" collapsed="false">
      <c r="A393" s="10" t="s">
        <v>183</v>
      </c>
      <c r="B393" s="11" t="n">
        <v>45426</v>
      </c>
      <c r="C393" s="10" t="s">
        <v>755</v>
      </c>
    </row>
    <row r="394" customFormat="false" ht="15" hidden="false" customHeight="true" outlineLevel="0" collapsed="false">
      <c r="A394" s="10" t="s">
        <v>183</v>
      </c>
      <c r="B394" s="11" t="n">
        <v>45427</v>
      </c>
      <c r="C394" s="10" t="s">
        <v>755</v>
      </c>
    </row>
    <row r="395" customFormat="false" ht="15" hidden="false" customHeight="true" outlineLevel="0" collapsed="false">
      <c r="A395" s="10" t="s">
        <v>183</v>
      </c>
      <c r="B395" s="11" t="n">
        <v>45428</v>
      </c>
      <c r="C395" s="10" t="s">
        <v>755</v>
      </c>
    </row>
    <row r="396" customFormat="false" ht="15" hidden="false" customHeight="true" outlineLevel="0" collapsed="false">
      <c r="A396" s="10" t="s">
        <v>183</v>
      </c>
      <c r="B396" s="11" t="n">
        <v>45429</v>
      </c>
      <c r="C396" s="10" t="s">
        <v>755</v>
      </c>
    </row>
    <row r="397" customFormat="false" ht="15" hidden="false" customHeight="true" outlineLevel="0" collapsed="false">
      <c r="A397" s="10" t="s">
        <v>186</v>
      </c>
      <c r="B397" s="11" t="n">
        <v>45425</v>
      </c>
      <c r="C397" s="10" t="s">
        <v>755</v>
      </c>
    </row>
    <row r="398" customFormat="false" ht="15" hidden="false" customHeight="true" outlineLevel="0" collapsed="false">
      <c r="A398" s="10" t="s">
        <v>186</v>
      </c>
      <c r="B398" s="11" t="n">
        <v>45426</v>
      </c>
      <c r="C398" s="10" t="s">
        <v>755</v>
      </c>
    </row>
    <row r="399" customFormat="false" ht="15" hidden="false" customHeight="true" outlineLevel="0" collapsed="false">
      <c r="A399" s="10" t="s">
        <v>186</v>
      </c>
      <c r="B399" s="11" t="n">
        <v>45427</v>
      </c>
      <c r="C399" s="10" t="s">
        <v>755</v>
      </c>
    </row>
    <row r="400" customFormat="false" ht="15" hidden="false" customHeight="true" outlineLevel="0" collapsed="false">
      <c r="A400" s="10" t="s">
        <v>186</v>
      </c>
      <c r="B400" s="11" t="n">
        <v>45428</v>
      </c>
      <c r="C400" s="10" t="s">
        <v>755</v>
      </c>
    </row>
    <row r="401" customFormat="false" ht="15" hidden="false" customHeight="true" outlineLevel="0" collapsed="false">
      <c r="A401" s="10" t="s">
        <v>186</v>
      </c>
      <c r="B401" s="11" t="n">
        <v>45429</v>
      </c>
      <c r="C401" s="10" t="s">
        <v>755</v>
      </c>
    </row>
    <row r="402" customFormat="false" ht="15" hidden="false" customHeight="true" outlineLevel="0" collapsed="false">
      <c r="A402" s="10" t="s">
        <v>186</v>
      </c>
      <c r="B402" s="11" t="n">
        <v>45461</v>
      </c>
      <c r="C402" s="10" t="s">
        <v>755</v>
      </c>
    </row>
    <row r="403" customFormat="false" ht="15" hidden="false" customHeight="true" outlineLevel="0" collapsed="false">
      <c r="A403" s="10" t="s">
        <v>186</v>
      </c>
      <c r="B403" s="11" t="n">
        <v>45462</v>
      </c>
      <c r="C403" s="10" t="s">
        <v>755</v>
      </c>
    </row>
    <row r="404" customFormat="false" ht="15" hidden="false" customHeight="true" outlineLevel="0" collapsed="false">
      <c r="A404" s="10" t="s">
        <v>186</v>
      </c>
      <c r="B404" s="11" t="n">
        <v>45463</v>
      </c>
      <c r="C404" s="10" t="s">
        <v>755</v>
      </c>
    </row>
    <row r="405" customFormat="false" ht="15" hidden="false" customHeight="true" outlineLevel="0" collapsed="false">
      <c r="A405" s="10" t="s">
        <v>186</v>
      </c>
      <c r="B405" s="11" t="n">
        <v>45464</v>
      </c>
      <c r="C405" s="10" t="s">
        <v>755</v>
      </c>
    </row>
    <row r="406" customFormat="false" ht="15" hidden="false" customHeight="true" outlineLevel="0" collapsed="false">
      <c r="A406" s="10" t="s">
        <v>188</v>
      </c>
      <c r="B406" s="11" t="n">
        <v>45453</v>
      </c>
      <c r="C406" s="10" t="s">
        <v>755</v>
      </c>
    </row>
    <row r="407" customFormat="false" ht="15" hidden="false" customHeight="true" outlineLevel="0" collapsed="false">
      <c r="A407" s="10" t="s">
        <v>188</v>
      </c>
      <c r="B407" s="11" t="n">
        <v>45454</v>
      </c>
      <c r="C407" s="10" t="s">
        <v>755</v>
      </c>
    </row>
    <row r="408" customFormat="false" ht="15" hidden="false" customHeight="true" outlineLevel="0" collapsed="false">
      <c r="A408" s="10" t="s">
        <v>188</v>
      </c>
      <c r="B408" s="11" t="n">
        <v>45455</v>
      </c>
      <c r="C408" s="10" t="s">
        <v>755</v>
      </c>
    </row>
    <row r="409" customFormat="false" ht="15" hidden="false" customHeight="true" outlineLevel="0" collapsed="false">
      <c r="A409" s="10" t="s">
        <v>188</v>
      </c>
      <c r="B409" s="11" t="n">
        <v>45456</v>
      </c>
      <c r="C409" s="10" t="s">
        <v>755</v>
      </c>
    </row>
    <row r="410" customFormat="false" ht="15" hidden="false" customHeight="true" outlineLevel="0" collapsed="false">
      <c r="A410" s="10" t="s">
        <v>188</v>
      </c>
      <c r="B410" s="11" t="n">
        <v>45457</v>
      </c>
      <c r="C410" s="10" t="s">
        <v>755</v>
      </c>
    </row>
    <row r="411" customFormat="false" ht="15" hidden="false" customHeight="true" outlineLevel="0" collapsed="false">
      <c r="A411" s="10" t="s">
        <v>188</v>
      </c>
      <c r="B411" s="11" t="n">
        <v>45461</v>
      </c>
      <c r="C411" s="10" t="s">
        <v>755</v>
      </c>
    </row>
    <row r="412" customFormat="false" ht="15" hidden="false" customHeight="true" outlineLevel="0" collapsed="false">
      <c r="A412" s="10" t="s">
        <v>188</v>
      </c>
      <c r="B412" s="11" t="n">
        <v>45462</v>
      </c>
      <c r="C412" s="10" t="s">
        <v>755</v>
      </c>
    </row>
    <row r="413" customFormat="false" ht="15" hidden="false" customHeight="true" outlineLevel="0" collapsed="false">
      <c r="A413" s="10" t="s">
        <v>188</v>
      </c>
      <c r="B413" s="11" t="n">
        <v>45463</v>
      </c>
      <c r="C413" s="10" t="s">
        <v>755</v>
      </c>
    </row>
    <row r="414" customFormat="false" ht="15" hidden="false" customHeight="true" outlineLevel="0" collapsed="false">
      <c r="A414" s="10" t="s">
        <v>188</v>
      </c>
      <c r="B414" s="11" t="n">
        <v>45464</v>
      </c>
      <c r="C414" s="10" t="s">
        <v>755</v>
      </c>
    </row>
    <row r="415" customFormat="false" ht="15" hidden="false" customHeight="true" outlineLevel="0" collapsed="false">
      <c r="A415" s="10" t="s">
        <v>188</v>
      </c>
      <c r="B415" s="11" t="n">
        <v>45467</v>
      </c>
      <c r="C415" s="10" t="s">
        <v>755</v>
      </c>
    </row>
    <row r="416" customFormat="false" ht="15" hidden="false" customHeight="true" outlineLevel="0" collapsed="false">
      <c r="A416" s="10" t="s">
        <v>188</v>
      </c>
      <c r="B416" s="11" t="n">
        <v>45468</v>
      </c>
      <c r="C416" s="10" t="s">
        <v>755</v>
      </c>
    </row>
    <row r="417" customFormat="false" ht="15" hidden="false" customHeight="true" outlineLevel="0" collapsed="false">
      <c r="A417" s="10" t="s">
        <v>188</v>
      </c>
      <c r="B417" s="11" t="n">
        <v>45469</v>
      </c>
      <c r="C417" s="10" t="s">
        <v>755</v>
      </c>
    </row>
    <row r="418" customFormat="false" ht="15" hidden="false" customHeight="true" outlineLevel="0" collapsed="false">
      <c r="A418" s="10" t="s">
        <v>188</v>
      </c>
      <c r="B418" s="11" t="n">
        <v>45470</v>
      </c>
      <c r="C418" s="10" t="s">
        <v>755</v>
      </c>
    </row>
    <row r="419" customFormat="false" ht="15" hidden="false" customHeight="true" outlineLevel="0" collapsed="false">
      <c r="A419" s="10" t="s">
        <v>188</v>
      </c>
      <c r="B419" s="11" t="n">
        <v>45471</v>
      </c>
      <c r="C419" s="10" t="s">
        <v>755</v>
      </c>
    </row>
    <row r="420" customFormat="false" ht="15" hidden="false" customHeight="true" outlineLevel="0" collapsed="false">
      <c r="A420" s="10" t="s">
        <v>193</v>
      </c>
      <c r="B420" s="11" t="n">
        <v>45453</v>
      </c>
      <c r="C420" s="10" t="s">
        <v>755</v>
      </c>
    </row>
    <row r="421" customFormat="false" ht="15" hidden="false" customHeight="true" outlineLevel="0" collapsed="false">
      <c r="A421" s="10" t="s">
        <v>193</v>
      </c>
      <c r="B421" s="11" t="n">
        <v>45454</v>
      </c>
      <c r="C421" s="10" t="s">
        <v>755</v>
      </c>
    </row>
    <row r="422" customFormat="false" ht="15" hidden="false" customHeight="true" outlineLevel="0" collapsed="false">
      <c r="A422" s="10" t="s">
        <v>193</v>
      </c>
      <c r="B422" s="11" t="n">
        <v>45455</v>
      </c>
      <c r="C422" s="10" t="s">
        <v>755</v>
      </c>
    </row>
    <row r="423" customFormat="false" ht="15" hidden="false" customHeight="true" outlineLevel="0" collapsed="false">
      <c r="A423" s="10" t="s">
        <v>193</v>
      </c>
      <c r="B423" s="11" t="n">
        <v>45456</v>
      </c>
      <c r="C423" s="10" t="s">
        <v>755</v>
      </c>
    </row>
    <row r="424" customFormat="false" ht="15" hidden="false" customHeight="true" outlineLevel="0" collapsed="false">
      <c r="A424" s="10" t="s">
        <v>193</v>
      </c>
      <c r="B424" s="11" t="n">
        <v>45457</v>
      </c>
      <c r="C424" s="10" t="s">
        <v>755</v>
      </c>
    </row>
    <row r="425" customFormat="false" ht="15" hidden="false" customHeight="true" outlineLevel="0" collapsed="false">
      <c r="A425" s="10" t="s">
        <v>193</v>
      </c>
      <c r="B425" s="11" t="n">
        <v>45461</v>
      </c>
      <c r="C425" s="10" t="s">
        <v>755</v>
      </c>
    </row>
    <row r="426" customFormat="false" ht="15" hidden="false" customHeight="true" outlineLevel="0" collapsed="false">
      <c r="A426" s="10" t="s">
        <v>193</v>
      </c>
      <c r="B426" s="11" t="n">
        <v>45462</v>
      </c>
      <c r="C426" s="10" t="s">
        <v>755</v>
      </c>
    </row>
    <row r="427" customFormat="false" ht="15" hidden="false" customHeight="true" outlineLevel="0" collapsed="false">
      <c r="A427" s="10" t="s">
        <v>193</v>
      </c>
      <c r="B427" s="11" t="n">
        <v>45463</v>
      </c>
      <c r="C427" s="10" t="s">
        <v>755</v>
      </c>
    </row>
    <row r="428" customFormat="false" ht="15" hidden="false" customHeight="true" outlineLevel="0" collapsed="false">
      <c r="A428" s="10" t="s">
        <v>193</v>
      </c>
      <c r="B428" s="11" t="n">
        <v>45464</v>
      </c>
      <c r="C428" s="10" t="s">
        <v>755</v>
      </c>
    </row>
    <row r="429" customFormat="false" ht="15" hidden="false" customHeight="true" outlineLevel="0" collapsed="false">
      <c r="A429" s="10" t="s">
        <v>193</v>
      </c>
      <c r="B429" s="11" t="n">
        <v>45467</v>
      </c>
      <c r="C429" s="10" t="s">
        <v>755</v>
      </c>
    </row>
    <row r="430" customFormat="false" ht="15" hidden="false" customHeight="true" outlineLevel="0" collapsed="false">
      <c r="A430" s="10" t="s">
        <v>193</v>
      </c>
      <c r="B430" s="11" t="n">
        <v>45468</v>
      </c>
      <c r="C430" s="10" t="s">
        <v>755</v>
      </c>
    </row>
    <row r="431" customFormat="false" ht="15" hidden="false" customHeight="true" outlineLevel="0" collapsed="false">
      <c r="A431" s="10" t="s">
        <v>193</v>
      </c>
      <c r="B431" s="11" t="n">
        <v>45469</v>
      </c>
      <c r="C431" s="10" t="s">
        <v>755</v>
      </c>
    </row>
    <row r="432" customFormat="false" ht="15" hidden="false" customHeight="true" outlineLevel="0" collapsed="false">
      <c r="A432" s="10" t="s">
        <v>193</v>
      </c>
      <c r="B432" s="11" t="n">
        <v>45470</v>
      </c>
      <c r="C432" s="10" t="s">
        <v>755</v>
      </c>
    </row>
    <row r="433" customFormat="false" ht="15" hidden="false" customHeight="true" outlineLevel="0" collapsed="false">
      <c r="A433" s="10" t="s">
        <v>193</v>
      </c>
      <c r="B433" s="11" t="n">
        <v>45471</v>
      </c>
      <c r="C433" s="10" t="s">
        <v>755</v>
      </c>
    </row>
    <row r="434" customFormat="false" ht="15" hidden="false" customHeight="true" outlineLevel="0" collapsed="false">
      <c r="A434" s="10" t="s">
        <v>195</v>
      </c>
      <c r="B434" s="11" t="n">
        <v>45453</v>
      </c>
      <c r="C434" s="10" t="s">
        <v>755</v>
      </c>
    </row>
    <row r="435" customFormat="false" ht="15" hidden="false" customHeight="true" outlineLevel="0" collapsed="false">
      <c r="A435" s="10" t="s">
        <v>195</v>
      </c>
      <c r="B435" s="11" t="n">
        <v>45454</v>
      </c>
      <c r="C435" s="10" t="s">
        <v>755</v>
      </c>
    </row>
    <row r="436" customFormat="false" ht="15" hidden="false" customHeight="true" outlineLevel="0" collapsed="false">
      <c r="A436" s="10" t="s">
        <v>195</v>
      </c>
      <c r="B436" s="11" t="n">
        <v>45455</v>
      </c>
      <c r="C436" s="10" t="s">
        <v>755</v>
      </c>
    </row>
    <row r="437" customFormat="false" ht="15" hidden="false" customHeight="true" outlineLevel="0" collapsed="false">
      <c r="A437" s="10" t="s">
        <v>195</v>
      </c>
      <c r="B437" s="11" t="n">
        <v>45456</v>
      </c>
      <c r="C437" s="10" t="s">
        <v>755</v>
      </c>
    </row>
    <row r="438" customFormat="false" ht="15" hidden="false" customHeight="true" outlineLevel="0" collapsed="false">
      <c r="A438" s="10" t="s">
        <v>195</v>
      </c>
      <c r="B438" s="11" t="n">
        <v>45457</v>
      </c>
      <c r="C438" s="10" t="s">
        <v>755</v>
      </c>
    </row>
    <row r="439" customFormat="false" ht="15" hidden="false" customHeight="true" outlineLevel="0" collapsed="false">
      <c r="A439" s="10" t="s">
        <v>195</v>
      </c>
      <c r="B439" s="11" t="n">
        <v>45461</v>
      </c>
      <c r="C439" s="10" t="s">
        <v>755</v>
      </c>
    </row>
    <row r="440" customFormat="false" ht="15" hidden="false" customHeight="true" outlineLevel="0" collapsed="false">
      <c r="A440" s="10" t="s">
        <v>195</v>
      </c>
      <c r="B440" s="11" t="n">
        <v>45462</v>
      </c>
      <c r="C440" s="10" t="s">
        <v>755</v>
      </c>
    </row>
    <row r="441" customFormat="false" ht="15" hidden="false" customHeight="true" outlineLevel="0" collapsed="false">
      <c r="A441" s="10" t="s">
        <v>195</v>
      </c>
      <c r="B441" s="11" t="n">
        <v>45463</v>
      </c>
      <c r="C441" s="10" t="s">
        <v>755</v>
      </c>
    </row>
    <row r="442" customFormat="false" ht="15" hidden="false" customHeight="true" outlineLevel="0" collapsed="false">
      <c r="A442" s="10" t="s">
        <v>195</v>
      </c>
      <c r="B442" s="11" t="n">
        <v>45464</v>
      </c>
      <c r="C442" s="10" t="s">
        <v>755</v>
      </c>
    </row>
    <row r="443" customFormat="false" ht="15" hidden="false" customHeight="true" outlineLevel="0" collapsed="false">
      <c r="A443" s="10" t="s">
        <v>195</v>
      </c>
      <c r="B443" s="11" t="n">
        <v>45467</v>
      </c>
      <c r="C443" s="10" t="s">
        <v>755</v>
      </c>
    </row>
    <row r="444" customFormat="false" ht="15" hidden="false" customHeight="true" outlineLevel="0" collapsed="false">
      <c r="A444" s="10" t="s">
        <v>195</v>
      </c>
      <c r="B444" s="11" t="n">
        <v>45468</v>
      </c>
      <c r="C444" s="10" t="s">
        <v>755</v>
      </c>
    </row>
    <row r="445" customFormat="false" ht="15" hidden="false" customHeight="true" outlineLevel="0" collapsed="false">
      <c r="A445" s="10" t="s">
        <v>195</v>
      </c>
      <c r="B445" s="11" t="n">
        <v>45469</v>
      </c>
      <c r="C445" s="10" t="s">
        <v>755</v>
      </c>
    </row>
    <row r="446" customFormat="false" ht="15" hidden="false" customHeight="true" outlineLevel="0" collapsed="false">
      <c r="A446" s="10" t="s">
        <v>195</v>
      </c>
      <c r="B446" s="11" t="n">
        <v>45470</v>
      </c>
      <c r="C446" s="10" t="s">
        <v>755</v>
      </c>
    </row>
    <row r="447" customFormat="false" ht="15" hidden="false" customHeight="true" outlineLevel="0" collapsed="false">
      <c r="A447" s="10" t="s">
        <v>195</v>
      </c>
      <c r="B447" s="11" t="n">
        <v>45471</v>
      </c>
      <c r="C447" s="10" t="s">
        <v>755</v>
      </c>
    </row>
    <row r="448" customFormat="false" ht="15" hidden="false" customHeight="true" outlineLevel="0" collapsed="false">
      <c r="A448" s="10" t="s">
        <v>197</v>
      </c>
      <c r="B448" s="11" t="n">
        <v>45447</v>
      </c>
      <c r="C448" s="10" t="s">
        <v>756</v>
      </c>
    </row>
    <row r="449" customFormat="false" ht="15" hidden="false" customHeight="true" outlineLevel="0" collapsed="false">
      <c r="A449" s="10" t="s">
        <v>197</v>
      </c>
      <c r="B449" s="11" t="n">
        <v>45448</v>
      </c>
      <c r="C449" s="10" t="s">
        <v>756</v>
      </c>
    </row>
    <row r="450" customFormat="false" ht="15" hidden="false" customHeight="true" outlineLevel="0" collapsed="false">
      <c r="A450" s="10" t="s">
        <v>197</v>
      </c>
      <c r="B450" s="11" t="n">
        <v>45449</v>
      </c>
      <c r="C450" s="10" t="s">
        <v>756</v>
      </c>
    </row>
    <row r="451" customFormat="false" ht="15" hidden="false" customHeight="true" outlineLevel="0" collapsed="false">
      <c r="A451" s="10" t="s">
        <v>197</v>
      </c>
      <c r="B451" s="11" t="n">
        <v>45450</v>
      </c>
      <c r="C451" s="10" t="s">
        <v>756</v>
      </c>
    </row>
    <row r="452" customFormat="false" ht="15" hidden="false" customHeight="true" outlineLevel="0" collapsed="false">
      <c r="A452" s="10" t="s">
        <v>197</v>
      </c>
      <c r="B452" s="11" t="n">
        <v>45453</v>
      </c>
      <c r="C452" s="10" t="s">
        <v>756</v>
      </c>
    </row>
    <row r="453" customFormat="false" ht="15" hidden="false" customHeight="true" outlineLevel="0" collapsed="false">
      <c r="A453" s="10" t="s">
        <v>197</v>
      </c>
      <c r="B453" s="11" t="n">
        <v>45454</v>
      </c>
      <c r="C453" s="10" t="s">
        <v>756</v>
      </c>
    </row>
    <row r="454" customFormat="false" ht="15" hidden="false" customHeight="true" outlineLevel="0" collapsed="false">
      <c r="A454" s="10" t="s">
        <v>197</v>
      </c>
      <c r="B454" s="11" t="n">
        <v>45455</v>
      </c>
      <c r="C454" s="10" t="s">
        <v>756</v>
      </c>
    </row>
    <row r="455" customFormat="false" ht="15" hidden="false" customHeight="true" outlineLevel="0" collapsed="false">
      <c r="A455" s="10" t="s">
        <v>197</v>
      </c>
      <c r="B455" s="11" t="n">
        <v>45456</v>
      </c>
      <c r="C455" s="10" t="s">
        <v>756</v>
      </c>
    </row>
    <row r="456" customFormat="false" ht="15" hidden="false" customHeight="true" outlineLevel="0" collapsed="false">
      <c r="A456" s="10" t="s">
        <v>197</v>
      </c>
      <c r="B456" s="11" t="n">
        <v>45457</v>
      </c>
      <c r="C456" s="10" t="s">
        <v>756</v>
      </c>
    </row>
    <row r="457" customFormat="false" ht="15" hidden="false" customHeight="true" outlineLevel="0" collapsed="false">
      <c r="A457" s="10" t="s">
        <v>197</v>
      </c>
      <c r="B457" s="11" t="n">
        <v>45461</v>
      </c>
      <c r="C457" s="10" t="s">
        <v>756</v>
      </c>
    </row>
    <row r="458" customFormat="false" ht="15" hidden="false" customHeight="true" outlineLevel="0" collapsed="false">
      <c r="A458" s="10" t="s">
        <v>197</v>
      </c>
      <c r="B458" s="11" t="n">
        <v>45462</v>
      </c>
      <c r="C458" s="10" t="s">
        <v>756</v>
      </c>
    </row>
    <row r="459" customFormat="false" ht="15" hidden="false" customHeight="true" outlineLevel="0" collapsed="false">
      <c r="A459" s="10" t="s">
        <v>197</v>
      </c>
      <c r="B459" s="11" t="n">
        <v>45463</v>
      </c>
      <c r="C459" s="10" t="s">
        <v>756</v>
      </c>
    </row>
    <row r="460" customFormat="false" ht="15" hidden="false" customHeight="true" outlineLevel="0" collapsed="false">
      <c r="A460" s="10" t="s">
        <v>197</v>
      </c>
      <c r="B460" s="11" t="n">
        <v>45464</v>
      </c>
      <c r="C460" s="10" t="s">
        <v>756</v>
      </c>
    </row>
    <row r="461" customFormat="false" ht="15" hidden="false" customHeight="true" outlineLevel="0" collapsed="false">
      <c r="A461" s="10" t="s">
        <v>197</v>
      </c>
      <c r="B461" s="11" t="n">
        <v>45467</v>
      </c>
      <c r="C461" s="10" t="s">
        <v>756</v>
      </c>
    </row>
    <row r="462" customFormat="false" ht="15" hidden="false" customHeight="true" outlineLevel="0" collapsed="false">
      <c r="A462" s="10" t="s">
        <v>197</v>
      </c>
      <c r="B462" s="11" t="n">
        <v>45468</v>
      </c>
      <c r="C462" s="10" t="s">
        <v>756</v>
      </c>
    </row>
    <row r="463" customFormat="false" ht="15" hidden="false" customHeight="true" outlineLevel="0" collapsed="false">
      <c r="A463" s="10" t="s">
        <v>197</v>
      </c>
      <c r="B463" s="11" t="n">
        <v>45469</v>
      </c>
      <c r="C463" s="10" t="s">
        <v>756</v>
      </c>
    </row>
    <row r="464" customFormat="false" ht="15" hidden="false" customHeight="true" outlineLevel="0" collapsed="false">
      <c r="A464" s="10" t="s">
        <v>197</v>
      </c>
      <c r="B464" s="11" t="n">
        <v>45470</v>
      </c>
      <c r="C464" s="10" t="s">
        <v>756</v>
      </c>
    </row>
    <row r="465" customFormat="false" ht="15" hidden="false" customHeight="true" outlineLevel="0" collapsed="false">
      <c r="A465" s="10" t="s">
        <v>197</v>
      </c>
      <c r="B465" s="11" t="n">
        <v>45471</v>
      </c>
      <c r="C465" s="10" t="s">
        <v>756</v>
      </c>
    </row>
    <row r="466" customFormat="false" ht="15" hidden="false" customHeight="true" outlineLevel="0" collapsed="false">
      <c r="A466" s="10" t="s">
        <v>202</v>
      </c>
      <c r="B466" s="11" t="n">
        <v>45447</v>
      </c>
      <c r="C466" s="10" t="s">
        <v>756</v>
      </c>
    </row>
    <row r="467" customFormat="false" ht="15" hidden="false" customHeight="true" outlineLevel="0" collapsed="false">
      <c r="A467" s="10" t="s">
        <v>202</v>
      </c>
      <c r="B467" s="11" t="n">
        <v>45448</v>
      </c>
      <c r="C467" s="10" t="s">
        <v>756</v>
      </c>
    </row>
    <row r="468" customFormat="false" ht="15" hidden="false" customHeight="true" outlineLevel="0" collapsed="false">
      <c r="A468" s="10" t="s">
        <v>202</v>
      </c>
      <c r="B468" s="11" t="n">
        <v>45449</v>
      </c>
      <c r="C468" s="10" t="s">
        <v>756</v>
      </c>
    </row>
    <row r="469" customFormat="false" ht="15" hidden="false" customHeight="true" outlineLevel="0" collapsed="false">
      <c r="A469" s="10" t="s">
        <v>202</v>
      </c>
      <c r="B469" s="11" t="n">
        <v>45450</v>
      </c>
      <c r="C469" s="10" t="s">
        <v>756</v>
      </c>
    </row>
    <row r="470" customFormat="false" ht="15" hidden="false" customHeight="true" outlineLevel="0" collapsed="false">
      <c r="A470" s="10" t="s">
        <v>202</v>
      </c>
      <c r="B470" s="11" t="n">
        <v>45453</v>
      </c>
      <c r="C470" s="10" t="s">
        <v>756</v>
      </c>
    </row>
    <row r="471" customFormat="false" ht="15" hidden="false" customHeight="true" outlineLevel="0" collapsed="false">
      <c r="A471" s="10" t="s">
        <v>202</v>
      </c>
      <c r="B471" s="11" t="n">
        <v>45454</v>
      </c>
      <c r="C471" s="10" t="s">
        <v>756</v>
      </c>
    </row>
    <row r="472" customFormat="false" ht="15" hidden="false" customHeight="true" outlineLevel="0" collapsed="false">
      <c r="A472" s="10" t="s">
        <v>202</v>
      </c>
      <c r="B472" s="11" t="n">
        <v>45455</v>
      </c>
      <c r="C472" s="10" t="s">
        <v>756</v>
      </c>
    </row>
    <row r="473" customFormat="false" ht="15" hidden="false" customHeight="true" outlineLevel="0" collapsed="false">
      <c r="A473" s="10" t="s">
        <v>202</v>
      </c>
      <c r="B473" s="11" t="n">
        <v>45456</v>
      </c>
      <c r="C473" s="10" t="s">
        <v>756</v>
      </c>
    </row>
    <row r="474" customFormat="false" ht="15" hidden="false" customHeight="true" outlineLevel="0" collapsed="false">
      <c r="A474" s="10" t="s">
        <v>202</v>
      </c>
      <c r="B474" s="11" t="n">
        <v>45457</v>
      </c>
      <c r="C474" s="10" t="s">
        <v>756</v>
      </c>
    </row>
    <row r="475" customFormat="false" ht="15" hidden="false" customHeight="true" outlineLevel="0" collapsed="false">
      <c r="A475" s="10" t="s">
        <v>202</v>
      </c>
      <c r="B475" s="11" t="n">
        <v>45461</v>
      </c>
      <c r="C475" s="10" t="s">
        <v>756</v>
      </c>
    </row>
    <row r="476" customFormat="false" ht="15" hidden="false" customHeight="true" outlineLevel="0" collapsed="false">
      <c r="A476" s="10" t="s">
        <v>202</v>
      </c>
      <c r="B476" s="11" t="n">
        <v>45462</v>
      </c>
      <c r="C476" s="10" t="s">
        <v>756</v>
      </c>
    </row>
    <row r="477" customFormat="false" ht="15" hidden="false" customHeight="true" outlineLevel="0" collapsed="false">
      <c r="A477" s="10" t="s">
        <v>202</v>
      </c>
      <c r="B477" s="11" t="n">
        <v>45463</v>
      </c>
      <c r="C477" s="10" t="s">
        <v>756</v>
      </c>
    </row>
    <row r="478" customFormat="false" ht="15" hidden="false" customHeight="true" outlineLevel="0" collapsed="false">
      <c r="A478" s="10" t="s">
        <v>202</v>
      </c>
      <c r="B478" s="11" t="n">
        <v>45464</v>
      </c>
      <c r="C478" s="10" t="s">
        <v>756</v>
      </c>
    </row>
    <row r="479" customFormat="false" ht="15" hidden="false" customHeight="true" outlineLevel="0" collapsed="false">
      <c r="A479" s="10" t="s">
        <v>202</v>
      </c>
      <c r="B479" s="11" t="n">
        <v>45467</v>
      </c>
      <c r="C479" s="10" t="s">
        <v>756</v>
      </c>
    </row>
    <row r="480" customFormat="false" ht="15" hidden="false" customHeight="true" outlineLevel="0" collapsed="false">
      <c r="A480" s="10" t="s">
        <v>202</v>
      </c>
      <c r="B480" s="11" t="n">
        <v>45468</v>
      </c>
      <c r="C480" s="10" t="s">
        <v>756</v>
      </c>
    </row>
    <row r="481" customFormat="false" ht="15" hidden="false" customHeight="true" outlineLevel="0" collapsed="false">
      <c r="A481" s="10" t="s">
        <v>202</v>
      </c>
      <c r="B481" s="11" t="n">
        <v>45469</v>
      </c>
      <c r="C481" s="10" t="s">
        <v>756</v>
      </c>
    </row>
    <row r="482" customFormat="false" ht="15" hidden="false" customHeight="true" outlineLevel="0" collapsed="false">
      <c r="A482" s="10" t="s">
        <v>202</v>
      </c>
      <c r="B482" s="11" t="n">
        <v>45470</v>
      </c>
      <c r="C482" s="10" t="s">
        <v>756</v>
      </c>
    </row>
    <row r="483" customFormat="false" ht="15" hidden="false" customHeight="true" outlineLevel="0" collapsed="false">
      <c r="A483" s="10" t="s">
        <v>202</v>
      </c>
      <c r="B483" s="11" t="n">
        <v>45471</v>
      </c>
      <c r="C483" s="10" t="s">
        <v>756</v>
      </c>
    </row>
    <row r="484" customFormat="false" ht="15" hidden="false" customHeight="true" outlineLevel="0" collapsed="false">
      <c r="A484" s="10" t="s">
        <v>203</v>
      </c>
      <c r="B484" s="11" t="n">
        <v>45447</v>
      </c>
      <c r="C484" s="10" t="s">
        <v>756</v>
      </c>
    </row>
    <row r="485" customFormat="false" ht="15" hidden="false" customHeight="true" outlineLevel="0" collapsed="false">
      <c r="A485" s="10" t="s">
        <v>203</v>
      </c>
      <c r="B485" s="11" t="n">
        <v>45448</v>
      </c>
      <c r="C485" s="10" t="s">
        <v>756</v>
      </c>
    </row>
    <row r="486" customFormat="false" ht="15" hidden="false" customHeight="true" outlineLevel="0" collapsed="false">
      <c r="A486" s="10" t="s">
        <v>203</v>
      </c>
      <c r="B486" s="11" t="n">
        <v>45449</v>
      </c>
      <c r="C486" s="10" t="s">
        <v>756</v>
      </c>
    </row>
    <row r="487" customFormat="false" ht="15" hidden="false" customHeight="true" outlineLevel="0" collapsed="false">
      <c r="A487" s="10" t="s">
        <v>203</v>
      </c>
      <c r="B487" s="11" t="n">
        <v>45450</v>
      </c>
      <c r="C487" s="10" t="s">
        <v>756</v>
      </c>
    </row>
    <row r="488" customFormat="false" ht="15" hidden="false" customHeight="true" outlineLevel="0" collapsed="false">
      <c r="A488" s="10" t="s">
        <v>203</v>
      </c>
      <c r="B488" s="11" t="n">
        <v>45453</v>
      </c>
      <c r="C488" s="10" t="s">
        <v>756</v>
      </c>
    </row>
    <row r="489" customFormat="false" ht="15" hidden="false" customHeight="true" outlineLevel="0" collapsed="false">
      <c r="A489" s="10" t="s">
        <v>203</v>
      </c>
      <c r="B489" s="11" t="n">
        <v>45454</v>
      </c>
      <c r="C489" s="10" t="s">
        <v>756</v>
      </c>
    </row>
    <row r="490" customFormat="false" ht="15" hidden="false" customHeight="true" outlineLevel="0" collapsed="false">
      <c r="A490" s="10" t="s">
        <v>203</v>
      </c>
      <c r="B490" s="11" t="n">
        <v>45455</v>
      </c>
      <c r="C490" s="10" t="s">
        <v>756</v>
      </c>
    </row>
    <row r="491" customFormat="false" ht="15" hidden="false" customHeight="true" outlineLevel="0" collapsed="false">
      <c r="A491" s="10" t="s">
        <v>203</v>
      </c>
      <c r="B491" s="11" t="n">
        <v>45456</v>
      </c>
      <c r="C491" s="10" t="s">
        <v>756</v>
      </c>
    </row>
    <row r="492" customFormat="false" ht="15" hidden="false" customHeight="true" outlineLevel="0" collapsed="false">
      <c r="A492" s="10" t="s">
        <v>203</v>
      </c>
      <c r="B492" s="11" t="n">
        <v>45457</v>
      </c>
      <c r="C492" s="10" t="s">
        <v>756</v>
      </c>
    </row>
    <row r="493" customFormat="false" ht="15" hidden="false" customHeight="true" outlineLevel="0" collapsed="false">
      <c r="A493" s="10" t="s">
        <v>203</v>
      </c>
      <c r="B493" s="11" t="n">
        <v>45461</v>
      </c>
      <c r="C493" s="10" t="s">
        <v>756</v>
      </c>
    </row>
    <row r="494" customFormat="false" ht="15" hidden="false" customHeight="true" outlineLevel="0" collapsed="false">
      <c r="A494" s="10" t="s">
        <v>203</v>
      </c>
      <c r="B494" s="11" t="n">
        <v>45462</v>
      </c>
      <c r="C494" s="10" t="s">
        <v>756</v>
      </c>
    </row>
    <row r="495" customFormat="false" ht="15" hidden="false" customHeight="true" outlineLevel="0" collapsed="false">
      <c r="A495" s="10" t="s">
        <v>203</v>
      </c>
      <c r="B495" s="11" t="n">
        <v>45463</v>
      </c>
      <c r="C495" s="10" t="s">
        <v>756</v>
      </c>
    </row>
    <row r="496" customFormat="false" ht="15" hidden="false" customHeight="true" outlineLevel="0" collapsed="false">
      <c r="A496" s="10" t="s">
        <v>203</v>
      </c>
      <c r="B496" s="11" t="n">
        <v>45464</v>
      </c>
      <c r="C496" s="10" t="s">
        <v>756</v>
      </c>
    </row>
    <row r="497" customFormat="false" ht="15" hidden="false" customHeight="true" outlineLevel="0" collapsed="false">
      <c r="A497" s="10" t="s">
        <v>203</v>
      </c>
      <c r="B497" s="11" t="n">
        <v>45467</v>
      </c>
      <c r="C497" s="10" t="s">
        <v>756</v>
      </c>
    </row>
    <row r="498" customFormat="false" ht="15" hidden="false" customHeight="true" outlineLevel="0" collapsed="false">
      <c r="A498" s="10" t="s">
        <v>203</v>
      </c>
      <c r="B498" s="11" t="n">
        <v>45468</v>
      </c>
      <c r="C498" s="10" t="s">
        <v>756</v>
      </c>
    </row>
    <row r="499" customFormat="false" ht="15" hidden="false" customHeight="true" outlineLevel="0" collapsed="false">
      <c r="A499" s="10" t="s">
        <v>203</v>
      </c>
      <c r="B499" s="11" t="n">
        <v>45469</v>
      </c>
      <c r="C499" s="10" t="s">
        <v>756</v>
      </c>
    </row>
    <row r="500" customFormat="false" ht="15" hidden="false" customHeight="true" outlineLevel="0" collapsed="false">
      <c r="A500" s="10" t="s">
        <v>203</v>
      </c>
      <c r="B500" s="11" t="n">
        <v>45470</v>
      </c>
      <c r="C500" s="10" t="s">
        <v>756</v>
      </c>
    </row>
    <row r="501" customFormat="false" ht="15" hidden="false" customHeight="true" outlineLevel="0" collapsed="false">
      <c r="A501" s="10" t="s">
        <v>203</v>
      </c>
      <c r="B501" s="11" t="n">
        <v>45471</v>
      </c>
      <c r="C501" s="10" t="s">
        <v>756</v>
      </c>
    </row>
    <row r="502" customFormat="false" ht="15" hidden="false" customHeight="true" outlineLevel="0" collapsed="false">
      <c r="A502" s="10" t="s">
        <v>204</v>
      </c>
      <c r="B502" s="11" t="n">
        <v>45446</v>
      </c>
      <c r="C502" s="10" t="s">
        <v>756</v>
      </c>
    </row>
    <row r="503" customFormat="false" ht="15" hidden="false" customHeight="true" outlineLevel="0" collapsed="false">
      <c r="A503" s="10" t="s">
        <v>204</v>
      </c>
      <c r="B503" s="11" t="n">
        <v>45447</v>
      </c>
      <c r="C503" s="10" t="s">
        <v>756</v>
      </c>
    </row>
    <row r="504" customFormat="false" ht="15" hidden="false" customHeight="true" outlineLevel="0" collapsed="false">
      <c r="A504" s="10" t="s">
        <v>204</v>
      </c>
      <c r="B504" s="11" t="n">
        <v>45448</v>
      </c>
      <c r="C504" s="10" t="s">
        <v>756</v>
      </c>
    </row>
    <row r="505" customFormat="false" ht="15" hidden="false" customHeight="true" outlineLevel="0" collapsed="false">
      <c r="A505" s="10" t="s">
        <v>204</v>
      </c>
      <c r="B505" s="11" t="n">
        <v>45449</v>
      </c>
      <c r="C505" s="10" t="s">
        <v>756</v>
      </c>
    </row>
    <row r="506" customFormat="false" ht="15" hidden="false" customHeight="true" outlineLevel="0" collapsed="false">
      <c r="A506" s="10" t="s">
        <v>204</v>
      </c>
      <c r="B506" s="11" t="n">
        <v>45450</v>
      </c>
      <c r="C506" s="10" t="s">
        <v>756</v>
      </c>
    </row>
    <row r="507" customFormat="false" ht="15" hidden="false" customHeight="true" outlineLevel="0" collapsed="false">
      <c r="A507" s="10" t="s">
        <v>204</v>
      </c>
      <c r="B507" s="11" t="n">
        <v>45453</v>
      </c>
      <c r="C507" s="10" t="s">
        <v>756</v>
      </c>
    </row>
    <row r="508" customFormat="false" ht="15" hidden="false" customHeight="true" outlineLevel="0" collapsed="false">
      <c r="A508" s="10" t="s">
        <v>204</v>
      </c>
      <c r="B508" s="11" t="n">
        <v>45454</v>
      </c>
      <c r="C508" s="10" t="s">
        <v>756</v>
      </c>
    </row>
    <row r="509" customFormat="false" ht="15" hidden="false" customHeight="true" outlineLevel="0" collapsed="false">
      <c r="A509" s="10" t="s">
        <v>204</v>
      </c>
      <c r="B509" s="11" t="n">
        <v>45455</v>
      </c>
      <c r="C509" s="10" t="s">
        <v>756</v>
      </c>
    </row>
    <row r="510" customFormat="false" ht="15" hidden="false" customHeight="true" outlineLevel="0" collapsed="false">
      <c r="A510" s="10" t="s">
        <v>204</v>
      </c>
      <c r="B510" s="11" t="n">
        <v>45456</v>
      </c>
      <c r="C510" s="10" t="s">
        <v>756</v>
      </c>
    </row>
    <row r="511" customFormat="false" ht="15" hidden="false" customHeight="true" outlineLevel="0" collapsed="false">
      <c r="A511" s="10" t="s">
        <v>204</v>
      </c>
      <c r="B511" s="11" t="n">
        <v>45457</v>
      </c>
      <c r="C511" s="10" t="s">
        <v>756</v>
      </c>
    </row>
    <row r="512" customFormat="false" ht="15" hidden="false" customHeight="true" outlineLevel="0" collapsed="false">
      <c r="A512" s="10" t="s">
        <v>204</v>
      </c>
      <c r="B512" s="11" t="n">
        <v>45461</v>
      </c>
      <c r="C512" s="10" t="s">
        <v>756</v>
      </c>
    </row>
    <row r="513" customFormat="false" ht="15" hidden="false" customHeight="true" outlineLevel="0" collapsed="false">
      <c r="A513" s="10" t="s">
        <v>204</v>
      </c>
      <c r="B513" s="11" t="n">
        <v>45462</v>
      </c>
      <c r="C513" s="10" t="s">
        <v>756</v>
      </c>
    </row>
    <row r="514" customFormat="false" ht="15" hidden="false" customHeight="true" outlineLevel="0" collapsed="false">
      <c r="A514" s="10" t="s">
        <v>204</v>
      </c>
      <c r="B514" s="11" t="n">
        <v>45463</v>
      </c>
      <c r="C514" s="10" t="s">
        <v>756</v>
      </c>
    </row>
    <row r="515" customFormat="false" ht="15" hidden="false" customHeight="true" outlineLevel="0" collapsed="false">
      <c r="A515" s="10" t="s">
        <v>204</v>
      </c>
      <c r="B515" s="11" t="n">
        <v>45464</v>
      </c>
      <c r="C515" s="10" t="s">
        <v>756</v>
      </c>
    </row>
    <row r="516" customFormat="false" ht="15" hidden="false" customHeight="true" outlineLevel="0" collapsed="false">
      <c r="A516" s="10" t="s">
        <v>204</v>
      </c>
      <c r="B516" s="11" t="n">
        <v>45467</v>
      </c>
      <c r="C516" s="10" t="s">
        <v>756</v>
      </c>
    </row>
    <row r="517" customFormat="false" ht="15" hidden="false" customHeight="true" outlineLevel="0" collapsed="false">
      <c r="A517" s="10" t="s">
        <v>204</v>
      </c>
      <c r="B517" s="11" t="n">
        <v>45468</v>
      </c>
      <c r="C517" s="10" t="s">
        <v>756</v>
      </c>
    </row>
    <row r="518" customFormat="false" ht="15" hidden="false" customHeight="true" outlineLevel="0" collapsed="false">
      <c r="A518" s="10" t="s">
        <v>204</v>
      </c>
      <c r="B518" s="11" t="n">
        <v>45469</v>
      </c>
      <c r="C518" s="10" t="s">
        <v>756</v>
      </c>
    </row>
    <row r="519" customFormat="false" ht="15" hidden="false" customHeight="true" outlineLevel="0" collapsed="false">
      <c r="A519" s="10" t="s">
        <v>204</v>
      </c>
      <c r="B519" s="11" t="n">
        <v>45470</v>
      </c>
      <c r="C519" s="10" t="s">
        <v>756</v>
      </c>
    </row>
    <row r="520" customFormat="false" ht="15" hidden="false" customHeight="true" outlineLevel="0" collapsed="false">
      <c r="A520" s="10" t="s">
        <v>204</v>
      </c>
      <c r="B520" s="11" t="n">
        <v>45471</v>
      </c>
      <c r="C520" s="10" t="s">
        <v>756</v>
      </c>
    </row>
    <row r="521" customFormat="false" ht="15" hidden="false" customHeight="true" outlineLevel="0" collapsed="false">
      <c r="A521" s="10" t="s">
        <v>208</v>
      </c>
      <c r="B521" s="11" t="n">
        <v>45461</v>
      </c>
      <c r="C521" s="10" t="s">
        <v>755</v>
      </c>
    </row>
    <row r="522" customFormat="false" ht="15" hidden="false" customHeight="true" outlineLevel="0" collapsed="false">
      <c r="A522" s="10" t="s">
        <v>208</v>
      </c>
      <c r="B522" s="11" t="n">
        <v>45462</v>
      </c>
      <c r="C522" s="10" t="s">
        <v>755</v>
      </c>
    </row>
    <row r="523" customFormat="false" ht="15" hidden="false" customHeight="true" outlineLevel="0" collapsed="false">
      <c r="A523" s="10" t="s">
        <v>208</v>
      </c>
      <c r="B523" s="11" t="n">
        <v>45463</v>
      </c>
      <c r="C523" s="10" t="s">
        <v>755</v>
      </c>
    </row>
    <row r="524" customFormat="false" ht="15" hidden="false" customHeight="true" outlineLevel="0" collapsed="false">
      <c r="A524" s="10" t="s">
        <v>208</v>
      </c>
      <c r="B524" s="11" t="n">
        <v>45464</v>
      </c>
      <c r="C524" s="10" t="s">
        <v>755</v>
      </c>
    </row>
    <row r="525" customFormat="false" ht="15" hidden="false" customHeight="true" outlineLevel="0" collapsed="false">
      <c r="A525" s="10" t="s">
        <v>208</v>
      </c>
      <c r="B525" s="11" t="n">
        <v>45467</v>
      </c>
      <c r="C525" s="10" t="s">
        <v>755</v>
      </c>
    </row>
    <row r="526" customFormat="false" ht="15" hidden="false" customHeight="true" outlineLevel="0" collapsed="false">
      <c r="A526" s="10" t="s">
        <v>208</v>
      </c>
      <c r="B526" s="11" t="n">
        <v>45468</v>
      </c>
      <c r="C526" s="10" t="s">
        <v>755</v>
      </c>
    </row>
    <row r="527" customFormat="false" ht="15" hidden="false" customHeight="true" outlineLevel="0" collapsed="false">
      <c r="A527" s="10" t="s">
        <v>208</v>
      </c>
      <c r="B527" s="11" t="n">
        <v>45469</v>
      </c>
      <c r="C527" s="10" t="s">
        <v>755</v>
      </c>
    </row>
    <row r="528" customFormat="false" ht="15" hidden="false" customHeight="true" outlineLevel="0" collapsed="false">
      <c r="A528" s="10" t="s">
        <v>208</v>
      </c>
      <c r="B528" s="11" t="n">
        <v>45470</v>
      </c>
      <c r="C528" s="10" t="s">
        <v>755</v>
      </c>
    </row>
    <row r="529" customFormat="false" ht="15" hidden="false" customHeight="true" outlineLevel="0" collapsed="false">
      <c r="A529" s="10" t="s">
        <v>208</v>
      </c>
      <c r="B529" s="11" t="n">
        <v>45471</v>
      </c>
      <c r="C529" s="10" t="s">
        <v>755</v>
      </c>
    </row>
    <row r="530" customFormat="false" ht="15" hidden="false" customHeight="true" outlineLevel="0" collapsed="false">
      <c r="A530" s="10" t="s">
        <v>212</v>
      </c>
      <c r="B530" s="11" t="n">
        <v>45461</v>
      </c>
      <c r="C530" s="10" t="s">
        <v>755</v>
      </c>
    </row>
    <row r="531" customFormat="false" ht="15" hidden="false" customHeight="true" outlineLevel="0" collapsed="false">
      <c r="A531" s="10" t="s">
        <v>212</v>
      </c>
      <c r="B531" s="11" t="n">
        <v>45462</v>
      </c>
      <c r="C531" s="10" t="s">
        <v>755</v>
      </c>
    </row>
    <row r="532" customFormat="false" ht="15" hidden="false" customHeight="true" outlineLevel="0" collapsed="false">
      <c r="A532" s="10" t="s">
        <v>212</v>
      </c>
      <c r="B532" s="11" t="n">
        <v>45463</v>
      </c>
      <c r="C532" s="10" t="s">
        <v>755</v>
      </c>
    </row>
    <row r="533" customFormat="false" ht="15" hidden="false" customHeight="true" outlineLevel="0" collapsed="false">
      <c r="A533" s="10" t="s">
        <v>212</v>
      </c>
      <c r="B533" s="11" t="n">
        <v>45464</v>
      </c>
      <c r="C533" s="10" t="s">
        <v>755</v>
      </c>
    </row>
    <row r="534" customFormat="false" ht="15" hidden="false" customHeight="true" outlineLevel="0" collapsed="false">
      <c r="A534" s="10" t="s">
        <v>212</v>
      </c>
      <c r="B534" s="11" t="n">
        <v>45467</v>
      </c>
      <c r="C534" s="10" t="s">
        <v>755</v>
      </c>
    </row>
    <row r="535" customFormat="false" ht="15" hidden="false" customHeight="true" outlineLevel="0" collapsed="false">
      <c r="A535" s="10" t="s">
        <v>212</v>
      </c>
      <c r="B535" s="11" t="n">
        <v>45468</v>
      </c>
      <c r="C535" s="10" t="s">
        <v>755</v>
      </c>
    </row>
    <row r="536" customFormat="false" ht="15" hidden="false" customHeight="true" outlineLevel="0" collapsed="false">
      <c r="A536" s="10" t="s">
        <v>212</v>
      </c>
      <c r="B536" s="11" t="n">
        <v>45469</v>
      </c>
      <c r="C536" s="10" t="s">
        <v>755</v>
      </c>
    </row>
    <row r="537" customFormat="false" ht="15" hidden="false" customHeight="true" outlineLevel="0" collapsed="false">
      <c r="A537" s="10" t="s">
        <v>212</v>
      </c>
      <c r="B537" s="11" t="n">
        <v>45470</v>
      </c>
      <c r="C537" s="10" t="s">
        <v>755</v>
      </c>
    </row>
    <row r="538" customFormat="false" ht="15" hidden="false" customHeight="true" outlineLevel="0" collapsed="false">
      <c r="A538" s="10" t="s">
        <v>212</v>
      </c>
      <c r="B538" s="11" t="n">
        <v>45471</v>
      </c>
      <c r="C538" s="10" t="s">
        <v>755</v>
      </c>
    </row>
    <row r="539" customFormat="false" ht="15" hidden="false" customHeight="true" outlineLevel="0" collapsed="false">
      <c r="A539" s="10" t="s">
        <v>215</v>
      </c>
      <c r="B539" s="11" t="n">
        <v>45446</v>
      </c>
      <c r="C539" s="10" t="s">
        <v>755</v>
      </c>
    </row>
    <row r="540" customFormat="false" ht="15" hidden="false" customHeight="true" outlineLevel="0" collapsed="false">
      <c r="A540" s="10" t="s">
        <v>215</v>
      </c>
      <c r="B540" s="11" t="n">
        <v>45447</v>
      </c>
      <c r="C540" s="10" t="s">
        <v>755</v>
      </c>
    </row>
    <row r="541" customFormat="false" ht="15" hidden="false" customHeight="true" outlineLevel="0" collapsed="false">
      <c r="A541" s="10" t="s">
        <v>215</v>
      </c>
      <c r="B541" s="11" t="n">
        <v>45449</v>
      </c>
      <c r="C541" s="10" t="s">
        <v>755</v>
      </c>
    </row>
    <row r="542" customFormat="false" ht="15" hidden="false" customHeight="true" outlineLevel="0" collapsed="false">
      <c r="A542" s="10" t="s">
        <v>215</v>
      </c>
      <c r="B542" s="11" t="n">
        <v>45450</v>
      </c>
      <c r="C542" s="10" t="s">
        <v>755</v>
      </c>
    </row>
    <row r="543" customFormat="false" ht="15" hidden="false" customHeight="true" outlineLevel="0" collapsed="false">
      <c r="A543" s="10" t="s">
        <v>215</v>
      </c>
      <c r="B543" s="11" t="n">
        <v>45467</v>
      </c>
      <c r="C543" s="10" t="s">
        <v>755</v>
      </c>
    </row>
    <row r="544" customFormat="false" ht="15" hidden="false" customHeight="true" outlineLevel="0" collapsed="false">
      <c r="A544" s="10" t="s">
        <v>215</v>
      </c>
      <c r="B544" s="11" t="n">
        <v>45468</v>
      </c>
      <c r="C544" s="10" t="s">
        <v>755</v>
      </c>
    </row>
    <row r="545" customFormat="false" ht="15" hidden="false" customHeight="true" outlineLevel="0" collapsed="false">
      <c r="A545" s="10" t="s">
        <v>215</v>
      </c>
      <c r="B545" s="11" t="n">
        <v>45470</v>
      </c>
      <c r="C545" s="10" t="s">
        <v>755</v>
      </c>
    </row>
    <row r="546" customFormat="false" ht="15" hidden="false" customHeight="true" outlineLevel="0" collapsed="false">
      <c r="A546" s="10" t="s">
        <v>215</v>
      </c>
      <c r="B546" s="11" t="n">
        <v>45471</v>
      </c>
      <c r="C546" s="10" t="s">
        <v>755</v>
      </c>
    </row>
    <row r="547" customFormat="false" ht="15" hidden="false" customHeight="true" outlineLevel="0" collapsed="false">
      <c r="A547" s="10" t="s">
        <v>218</v>
      </c>
      <c r="B547" s="11" t="n">
        <v>45461</v>
      </c>
      <c r="C547" s="10" t="s">
        <v>755</v>
      </c>
    </row>
    <row r="548" customFormat="false" ht="15" hidden="false" customHeight="true" outlineLevel="0" collapsed="false">
      <c r="A548" s="10" t="s">
        <v>218</v>
      </c>
      <c r="B548" s="11" t="n">
        <v>45462</v>
      </c>
      <c r="C548" s="10" t="s">
        <v>755</v>
      </c>
    </row>
    <row r="549" customFormat="false" ht="15" hidden="false" customHeight="true" outlineLevel="0" collapsed="false">
      <c r="A549" s="10" t="s">
        <v>218</v>
      </c>
      <c r="B549" s="11" t="n">
        <v>45463</v>
      </c>
      <c r="C549" s="10" t="s">
        <v>755</v>
      </c>
    </row>
    <row r="550" customFormat="false" ht="15" hidden="false" customHeight="true" outlineLevel="0" collapsed="false">
      <c r="A550" s="10" t="s">
        <v>218</v>
      </c>
      <c r="B550" s="11" t="n">
        <v>45464</v>
      </c>
      <c r="C550" s="10" t="s">
        <v>755</v>
      </c>
    </row>
    <row r="551" customFormat="false" ht="15" hidden="false" customHeight="true" outlineLevel="0" collapsed="false">
      <c r="A551" s="10" t="s">
        <v>218</v>
      </c>
      <c r="B551" s="11" t="n">
        <v>45467</v>
      </c>
      <c r="C551" s="10" t="s">
        <v>755</v>
      </c>
    </row>
    <row r="552" customFormat="false" ht="15" hidden="false" customHeight="true" outlineLevel="0" collapsed="false">
      <c r="A552" s="10" t="s">
        <v>218</v>
      </c>
      <c r="B552" s="11" t="n">
        <v>45468</v>
      </c>
      <c r="C552" s="10" t="s">
        <v>755</v>
      </c>
    </row>
    <row r="553" customFormat="false" ht="15" hidden="false" customHeight="true" outlineLevel="0" collapsed="false">
      <c r="A553" s="10" t="s">
        <v>218</v>
      </c>
      <c r="B553" s="11" t="n">
        <v>45469</v>
      </c>
      <c r="C553" s="10" t="s">
        <v>755</v>
      </c>
    </row>
    <row r="554" customFormat="false" ht="15" hidden="false" customHeight="true" outlineLevel="0" collapsed="false">
      <c r="A554" s="10" t="s">
        <v>218</v>
      </c>
      <c r="B554" s="11" t="n">
        <v>45470</v>
      </c>
      <c r="C554" s="10" t="s">
        <v>755</v>
      </c>
    </row>
    <row r="555" customFormat="false" ht="15" hidden="false" customHeight="true" outlineLevel="0" collapsed="false">
      <c r="A555" s="10" t="s">
        <v>218</v>
      </c>
      <c r="B555" s="11" t="n">
        <v>45471</v>
      </c>
      <c r="C555" s="10" t="s">
        <v>755</v>
      </c>
    </row>
    <row r="556" customFormat="false" ht="15" hidden="false" customHeight="true" outlineLevel="0" collapsed="false">
      <c r="A556" s="10" t="s">
        <v>222</v>
      </c>
      <c r="B556" s="11" t="n">
        <v>45445</v>
      </c>
      <c r="C556" s="10" t="s">
        <v>755</v>
      </c>
    </row>
    <row r="557" customFormat="false" ht="15" hidden="false" customHeight="true" outlineLevel="0" collapsed="false">
      <c r="A557" s="10" t="s">
        <v>222</v>
      </c>
      <c r="B557" s="11" t="n">
        <v>45457</v>
      </c>
      <c r="C557" s="10" t="s">
        <v>755</v>
      </c>
    </row>
    <row r="558" customFormat="false" ht="15" hidden="false" customHeight="true" outlineLevel="0" collapsed="false">
      <c r="A558" s="10" t="s">
        <v>228</v>
      </c>
      <c r="B558" s="11" t="n">
        <v>45488</v>
      </c>
      <c r="C558" s="10" t="s">
        <v>756</v>
      </c>
    </row>
    <row r="559" customFormat="false" ht="15" hidden="false" customHeight="true" outlineLevel="0" collapsed="false">
      <c r="A559" s="10" t="s">
        <v>228</v>
      </c>
      <c r="B559" s="11" t="n">
        <v>45489</v>
      </c>
      <c r="C559" s="10" t="s">
        <v>756</v>
      </c>
    </row>
    <row r="560" customFormat="false" ht="15" hidden="false" customHeight="true" outlineLevel="0" collapsed="false">
      <c r="A560" s="10" t="s">
        <v>228</v>
      </c>
      <c r="B560" s="11" t="n">
        <v>45490</v>
      </c>
      <c r="C560" s="10" t="s">
        <v>756</v>
      </c>
    </row>
    <row r="561" customFormat="false" ht="15" hidden="false" customHeight="true" outlineLevel="0" collapsed="false">
      <c r="A561" s="10" t="s">
        <v>228</v>
      </c>
      <c r="B561" s="11" t="n">
        <v>45491</v>
      </c>
      <c r="C561" s="10" t="s">
        <v>756</v>
      </c>
    </row>
    <row r="562" customFormat="false" ht="15" hidden="false" customHeight="true" outlineLevel="0" collapsed="false">
      <c r="A562" s="10" t="s">
        <v>228</v>
      </c>
      <c r="B562" s="11" t="n">
        <v>45492</v>
      </c>
      <c r="C562" s="10" t="s">
        <v>756</v>
      </c>
    </row>
    <row r="563" customFormat="false" ht="15" hidden="false" customHeight="true" outlineLevel="0" collapsed="false">
      <c r="A563" s="10" t="s">
        <v>228</v>
      </c>
      <c r="B563" s="11" t="n">
        <v>45495</v>
      </c>
      <c r="C563" s="10" t="s">
        <v>756</v>
      </c>
    </row>
    <row r="564" customFormat="false" ht="15" hidden="false" customHeight="true" outlineLevel="0" collapsed="false">
      <c r="A564" s="10" t="s">
        <v>228</v>
      </c>
      <c r="B564" s="11" t="n">
        <v>45496</v>
      </c>
      <c r="C564" s="10" t="s">
        <v>756</v>
      </c>
    </row>
    <row r="565" customFormat="false" ht="15" hidden="false" customHeight="true" outlineLevel="0" collapsed="false">
      <c r="A565" s="10" t="s">
        <v>228</v>
      </c>
      <c r="B565" s="11" t="n">
        <v>45497</v>
      </c>
      <c r="C565" s="10" t="s">
        <v>756</v>
      </c>
    </row>
    <row r="566" customFormat="false" ht="15" hidden="false" customHeight="true" outlineLevel="0" collapsed="false">
      <c r="A566" s="10" t="s">
        <v>228</v>
      </c>
      <c r="B566" s="11" t="n">
        <v>45498</v>
      </c>
      <c r="C566" s="10" t="s">
        <v>756</v>
      </c>
    </row>
    <row r="567" customFormat="false" ht="15" hidden="false" customHeight="true" outlineLevel="0" collapsed="false">
      <c r="A567" s="10" t="s">
        <v>228</v>
      </c>
      <c r="B567" s="11" t="n">
        <v>45499</v>
      </c>
      <c r="C567" s="10" t="s">
        <v>756</v>
      </c>
    </row>
    <row r="568" customFormat="false" ht="15" hidden="false" customHeight="true" outlineLevel="0" collapsed="false">
      <c r="A568" s="10" t="s">
        <v>228</v>
      </c>
      <c r="B568" s="11" t="n">
        <v>45502</v>
      </c>
      <c r="C568" s="10" t="s">
        <v>756</v>
      </c>
    </row>
    <row r="569" customFormat="false" ht="15" hidden="false" customHeight="true" outlineLevel="0" collapsed="false">
      <c r="A569" s="10" t="s">
        <v>228</v>
      </c>
      <c r="B569" s="11" t="n">
        <v>45503</v>
      </c>
      <c r="C569" s="10" t="s">
        <v>756</v>
      </c>
    </row>
    <row r="570" customFormat="false" ht="15" hidden="false" customHeight="true" outlineLevel="0" collapsed="false">
      <c r="A570" s="10" t="s">
        <v>228</v>
      </c>
      <c r="B570" s="11" t="n">
        <v>45504</v>
      </c>
      <c r="C570" s="10" t="s">
        <v>756</v>
      </c>
    </row>
    <row r="571" customFormat="false" ht="15" hidden="false" customHeight="true" outlineLevel="0" collapsed="false">
      <c r="A571" s="10" t="s">
        <v>228</v>
      </c>
      <c r="B571" s="11" t="n">
        <v>45505</v>
      </c>
      <c r="C571" s="10" t="s">
        <v>756</v>
      </c>
    </row>
    <row r="572" customFormat="false" ht="15" hidden="false" customHeight="true" outlineLevel="0" collapsed="false">
      <c r="A572" s="10" t="s">
        <v>228</v>
      </c>
      <c r="B572" s="11" t="n">
        <v>45506</v>
      </c>
      <c r="C572" s="10" t="s">
        <v>756</v>
      </c>
    </row>
    <row r="573" customFormat="false" ht="15" hidden="false" customHeight="true" outlineLevel="0" collapsed="false">
      <c r="A573" s="10" t="s">
        <v>228</v>
      </c>
      <c r="B573" s="11" t="n">
        <v>45509</v>
      </c>
      <c r="C573" s="10" t="s">
        <v>756</v>
      </c>
    </row>
    <row r="574" customFormat="false" ht="15" hidden="false" customHeight="true" outlineLevel="0" collapsed="false">
      <c r="A574" s="10" t="s">
        <v>228</v>
      </c>
      <c r="B574" s="11" t="n">
        <v>45510</v>
      </c>
      <c r="C574" s="10" t="s">
        <v>756</v>
      </c>
    </row>
    <row r="575" customFormat="false" ht="15" hidden="false" customHeight="true" outlineLevel="0" collapsed="false">
      <c r="A575" s="10" t="s">
        <v>228</v>
      </c>
      <c r="B575" s="11" t="n">
        <v>45511</v>
      </c>
      <c r="C575" s="10" t="s">
        <v>756</v>
      </c>
    </row>
    <row r="576" customFormat="false" ht="15" hidden="false" customHeight="true" outlineLevel="0" collapsed="false">
      <c r="A576" s="10" t="s">
        <v>228</v>
      </c>
      <c r="B576" s="11" t="n">
        <v>45512</v>
      </c>
      <c r="C576" s="10" t="s">
        <v>756</v>
      </c>
    </row>
    <row r="577" customFormat="false" ht="15" hidden="false" customHeight="true" outlineLevel="0" collapsed="false">
      <c r="A577" s="10" t="s">
        <v>228</v>
      </c>
      <c r="B577" s="11" t="n">
        <v>45516</v>
      </c>
      <c r="C577" s="10" t="s">
        <v>756</v>
      </c>
    </row>
    <row r="578" customFormat="false" ht="15" hidden="false" customHeight="true" outlineLevel="0" collapsed="false">
      <c r="A578" s="10" t="s">
        <v>228</v>
      </c>
      <c r="B578" s="11" t="n">
        <v>45517</v>
      </c>
      <c r="C578" s="10" t="s">
        <v>756</v>
      </c>
    </row>
    <row r="579" customFormat="false" ht="15" hidden="false" customHeight="true" outlineLevel="0" collapsed="false">
      <c r="A579" s="10" t="s">
        <v>228</v>
      </c>
      <c r="B579" s="11" t="n">
        <v>45518</v>
      </c>
      <c r="C579" s="10" t="s">
        <v>756</v>
      </c>
    </row>
    <row r="580" customFormat="false" ht="15" hidden="false" customHeight="true" outlineLevel="0" collapsed="false">
      <c r="A580" s="10" t="s">
        <v>228</v>
      </c>
      <c r="B580" s="11" t="n">
        <v>45519</v>
      </c>
      <c r="C580" s="10" t="s">
        <v>756</v>
      </c>
    </row>
    <row r="581" customFormat="false" ht="15" hidden="false" customHeight="true" outlineLevel="0" collapsed="false">
      <c r="A581" s="10" t="s">
        <v>228</v>
      </c>
      <c r="B581" s="11" t="n">
        <v>45520</v>
      </c>
      <c r="C581" s="10" t="s">
        <v>756</v>
      </c>
    </row>
    <row r="582" customFormat="false" ht="15" hidden="false" customHeight="true" outlineLevel="0" collapsed="false">
      <c r="A582" s="10" t="s">
        <v>228</v>
      </c>
      <c r="B582" s="11" t="n">
        <v>45523</v>
      </c>
      <c r="C582" s="10" t="s">
        <v>756</v>
      </c>
    </row>
    <row r="583" customFormat="false" ht="15" hidden="false" customHeight="true" outlineLevel="0" collapsed="false">
      <c r="A583" s="10" t="s">
        <v>228</v>
      </c>
      <c r="B583" s="11" t="n">
        <v>45524</v>
      </c>
      <c r="C583" s="10" t="s">
        <v>756</v>
      </c>
    </row>
    <row r="584" customFormat="false" ht="15" hidden="false" customHeight="true" outlineLevel="0" collapsed="false">
      <c r="A584" s="10" t="s">
        <v>228</v>
      </c>
      <c r="B584" s="11" t="n">
        <v>45525</v>
      </c>
      <c r="C584" s="10" t="s">
        <v>756</v>
      </c>
    </row>
    <row r="585" customFormat="false" ht="15" hidden="false" customHeight="true" outlineLevel="0" collapsed="false">
      <c r="A585" s="10" t="s">
        <v>228</v>
      </c>
      <c r="B585" s="11" t="n">
        <v>45526</v>
      </c>
      <c r="C585" s="10" t="s">
        <v>756</v>
      </c>
    </row>
    <row r="586" customFormat="false" ht="15" hidden="false" customHeight="true" outlineLevel="0" collapsed="false">
      <c r="A586" s="10" t="s">
        <v>228</v>
      </c>
      <c r="B586" s="11" t="n">
        <v>45527</v>
      </c>
      <c r="C586" s="10" t="s">
        <v>756</v>
      </c>
    </row>
    <row r="587" customFormat="false" ht="15" hidden="false" customHeight="true" outlineLevel="0" collapsed="false">
      <c r="A587" s="10" t="s">
        <v>228</v>
      </c>
      <c r="B587" s="11" t="n">
        <v>45560</v>
      </c>
      <c r="C587" s="10" t="s">
        <v>756</v>
      </c>
    </row>
    <row r="588" customFormat="false" ht="15" hidden="false" customHeight="true" outlineLevel="0" collapsed="false">
      <c r="A588" s="10" t="s">
        <v>228</v>
      </c>
      <c r="B588" s="11" t="n">
        <v>45561</v>
      </c>
      <c r="C588" s="10" t="s">
        <v>756</v>
      </c>
    </row>
    <row r="589" customFormat="false" ht="15" hidden="false" customHeight="true" outlineLevel="0" collapsed="false">
      <c r="A589" s="10" t="s">
        <v>228</v>
      </c>
      <c r="B589" s="11" t="n">
        <v>45562</v>
      </c>
      <c r="C589" s="10" t="s">
        <v>756</v>
      </c>
    </row>
    <row r="590" customFormat="false" ht="15" hidden="false" customHeight="true" outlineLevel="0" collapsed="false">
      <c r="A590" s="10" t="s">
        <v>228</v>
      </c>
      <c r="B590" s="11" t="n">
        <v>45565</v>
      </c>
      <c r="C590" s="10" t="s">
        <v>756</v>
      </c>
    </row>
    <row r="591" customFormat="false" ht="15" hidden="false" customHeight="true" outlineLevel="0" collapsed="false">
      <c r="A591" s="10" t="s">
        <v>228</v>
      </c>
      <c r="B591" s="11" t="n">
        <v>45566</v>
      </c>
      <c r="C591" s="10" t="s">
        <v>756</v>
      </c>
    </row>
    <row r="592" customFormat="false" ht="15" hidden="false" customHeight="true" outlineLevel="0" collapsed="false">
      <c r="A592" s="10" t="s">
        <v>228</v>
      </c>
      <c r="B592" s="11" t="n">
        <v>45567</v>
      </c>
      <c r="C592" s="10" t="s">
        <v>756</v>
      </c>
    </row>
    <row r="593" customFormat="false" ht="15" hidden="false" customHeight="true" outlineLevel="0" collapsed="false">
      <c r="A593" s="10" t="s">
        <v>228</v>
      </c>
      <c r="B593" s="11" t="n">
        <v>45568</v>
      </c>
      <c r="C593" s="10" t="s">
        <v>756</v>
      </c>
    </row>
    <row r="594" customFormat="false" ht="15" hidden="false" customHeight="true" outlineLevel="0" collapsed="false">
      <c r="A594" s="10" t="s">
        <v>233</v>
      </c>
      <c r="B594" s="11" t="n">
        <v>45488</v>
      </c>
      <c r="C594" s="10" t="s">
        <v>756</v>
      </c>
    </row>
    <row r="595" customFormat="false" ht="15" hidden="false" customHeight="true" outlineLevel="0" collapsed="false">
      <c r="A595" s="10" t="s">
        <v>233</v>
      </c>
      <c r="B595" s="11" t="n">
        <v>45489</v>
      </c>
      <c r="C595" s="10" t="s">
        <v>756</v>
      </c>
    </row>
    <row r="596" customFormat="false" ht="15" hidden="false" customHeight="true" outlineLevel="0" collapsed="false">
      <c r="A596" s="10" t="s">
        <v>233</v>
      </c>
      <c r="B596" s="11" t="n">
        <v>45490</v>
      </c>
      <c r="C596" s="10" t="s">
        <v>756</v>
      </c>
    </row>
    <row r="597" customFormat="false" ht="15" hidden="false" customHeight="true" outlineLevel="0" collapsed="false">
      <c r="A597" s="10" t="s">
        <v>233</v>
      </c>
      <c r="B597" s="11" t="n">
        <v>45491</v>
      </c>
      <c r="C597" s="10" t="s">
        <v>756</v>
      </c>
    </row>
    <row r="598" customFormat="false" ht="15" hidden="false" customHeight="true" outlineLevel="0" collapsed="false">
      <c r="A598" s="10" t="s">
        <v>233</v>
      </c>
      <c r="B598" s="11" t="n">
        <v>45492</v>
      </c>
      <c r="C598" s="10" t="s">
        <v>756</v>
      </c>
    </row>
    <row r="599" customFormat="false" ht="15" hidden="false" customHeight="true" outlineLevel="0" collapsed="false">
      <c r="A599" s="10" t="s">
        <v>233</v>
      </c>
      <c r="B599" s="11" t="n">
        <v>45495</v>
      </c>
      <c r="C599" s="10" t="s">
        <v>756</v>
      </c>
    </row>
    <row r="600" customFormat="false" ht="15" hidden="false" customHeight="true" outlineLevel="0" collapsed="false">
      <c r="A600" s="10" t="s">
        <v>233</v>
      </c>
      <c r="B600" s="11" t="n">
        <v>45496</v>
      </c>
      <c r="C600" s="10" t="s">
        <v>756</v>
      </c>
    </row>
    <row r="601" customFormat="false" ht="15" hidden="false" customHeight="true" outlineLevel="0" collapsed="false">
      <c r="A601" s="10" t="s">
        <v>233</v>
      </c>
      <c r="B601" s="11" t="n">
        <v>45497</v>
      </c>
      <c r="C601" s="10" t="s">
        <v>756</v>
      </c>
    </row>
    <row r="602" customFormat="false" ht="15" hidden="false" customHeight="true" outlineLevel="0" collapsed="false">
      <c r="A602" s="10" t="s">
        <v>233</v>
      </c>
      <c r="B602" s="11" t="n">
        <v>45498</v>
      </c>
      <c r="C602" s="10" t="s">
        <v>756</v>
      </c>
    </row>
    <row r="603" customFormat="false" ht="15" hidden="false" customHeight="true" outlineLevel="0" collapsed="false">
      <c r="A603" s="10" t="s">
        <v>233</v>
      </c>
      <c r="B603" s="11" t="n">
        <v>45499</v>
      </c>
      <c r="C603" s="10" t="s">
        <v>756</v>
      </c>
    </row>
    <row r="604" customFormat="false" ht="15" hidden="false" customHeight="true" outlineLevel="0" collapsed="false">
      <c r="A604" s="10" t="s">
        <v>233</v>
      </c>
      <c r="B604" s="11" t="n">
        <v>45520</v>
      </c>
      <c r="C604" s="10" t="s">
        <v>756</v>
      </c>
    </row>
    <row r="605" customFormat="false" ht="15" hidden="false" customHeight="true" outlineLevel="0" collapsed="false">
      <c r="A605" s="10" t="s">
        <v>233</v>
      </c>
      <c r="B605" s="11" t="n">
        <v>45523</v>
      </c>
      <c r="C605" s="10" t="s">
        <v>756</v>
      </c>
    </row>
    <row r="606" customFormat="false" ht="15" hidden="false" customHeight="true" outlineLevel="0" collapsed="false">
      <c r="A606" s="10" t="s">
        <v>233</v>
      </c>
      <c r="B606" s="11" t="n">
        <v>45524</v>
      </c>
      <c r="C606" s="10" t="s">
        <v>756</v>
      </c>
    </row>
    <row r="607" customFormat="false" ht="15" hidden="false" customHeight="true" outlineLevel="0" collapsed="false">
      <c r="A607" s="10" t="s">
        <v>233</v>
      </c>
      <c r="B607" s="11" t="n">
        <v>45525</v>
      </c>
      <c r="C607" s="10" t="s">
        <v>756</v>
      </c>
    </row>
    <row r="608" customFormat="false" ht="15" hidden="false" customHeight="true" outlineLevel="0" collapsed="false">
      <c r="A608" s="10" t="s">
        <v>233</v>
      </c>
      <c r="B608" s="11" t="n">
        <v>45526</v>
      </c>
      <c r="C608" s="10" t="s">
        <v>756</v>
      </c>
    </row>
    <row r="609" customFormat="false" ht="15" hidden="false" customHeight="true" outlineLevel="0" collapsed="false">
      <c r="A609" s="10" t="s">
        <v>233</v>
      </c>
      <c r="B609" s="11" t="n">
        <v>45527</v>
      </c>
      <c r="C609" s="10" t="s">
        <v>756</v>
      </c>
    </row>
    <row r="610" customFormat="false" ht="15" hidden="false" customHeight="true" outlineLevel="0" collapsed="false">
      <c r="A610" s="10" t="s">
        <v>233</v>
      </c>
      <c r="B610" s="11" t="n">
        <v>45551</v>
      </c>
      <c r="C610" s="10" t="s">
        <v>756</v>
      </c>
    </row>
    <row r="611" customFormat="false" ht="15" hidden="false" customHeight="true" outlineLevel="0" collapsed="false">
      <c r="A611" s="10" t="s">
        <v>233</v>
      </c>
      <c r="B611" s="11" t="n">
        <v>45552</v>
      </c>
      <c r="C611" s="10" t="s">
        <v>756</v>
      </c>
    </row>
    <row r="612" customFormat="false" ht="15" hidden="false" customHeight="true" outlineLevel="0" collapsed="false">
      <c r="A612" s="10" t="s">
        <v>233</v>
      </c>
      <c r="B612" s="11" t="n">
        <v>45553</v>
      </c>
      <c r="C612" s="10" t="s">
        <v>756</v>
      </c>
    </row>
    <row r="613" customFormat="false" ht="15" hidden="false" customHeight="true" outlineLevel="0" collapsed="false">
      <c r="A613" s="10" t="s">
        <v>233</v>
      </c>
      <c r="B613" s="11" t="n">
        <v>45554</v>
      </c>
      <c r="C613" s="10" t="s">
        <v>756</v>
      </c>
    </row>
    <row r="614" customFormat="false" ht="15" hidden="false" customHeight="true" outlineLevel="0" collapsed="false">
      <c r="A614" s="10" t="s">
        <v>233</v>
      </c>
      <c r="B614" s="11" t="n">
        <v>45555</v>
      </c>
      <c r="C614" s="10" t="s">
        <v>756</v>
      </c>
    </row>
    <row r="615" customFormat="false" ht="15" hidden="false" customHeight="true" outlineLevel="0" collapsed="false">
      <c r="A615" s="10" t="s">
        <v>233</v>
      </c>
      <c r="B615" s="11" t="n">
        <v>45565</v>
      </c>
      <c r="C615" s="10" t="s">
        <v>756</v>
      </c>
    </row>
    <row r="616" customFormat="false" ht="15" hidden="false" customHeight="true" outlineLevel="0" collapsed="false">
      <c r="A616" s="10" t="s">
        <v>233</v>
      </c>
      <c r="B616" s="11" t="n">
        <v>45566</v>
      </c>
      <c r="C616" s="10" t="s">
        <v>756</v>
      </c>
    </row>
    <row r="617" customFormat="false" ht="15" hidden="false" customHeight="true" outlineLevel="0" collapsed="false">
      <c r="A617" s="10" t="s">
        <v>233</v>
      </c>
      <c r="B617" s="11" t="n">
        <v>45567</v>
      </c>
      <c r="C617" s="10" t="s">
        <v>756</v>
      </c>
    </row>
    <row r="618" customFormat="false" ht="15" hidden="false" customHeight="true" outlineLevel="0" collapsed="false">
      <c r="A618" s="10" t="s">
        <v>233</v>
      </c>
      <c r="B618" s="11" t="n">
        <v>45568</v>
      </c>
      <c r="C618" s="10" t="s">
        <v>756</v>
      </c>
    </row>
    <row r="619" customFormat="false" ht="15" hidden="false" customHeight="true" outlineLevel="0" collapsed="false">
      <c r="A619" s="10" t="s">
        <v>238</v>
      </c>
      <c r="B619" s="11" t="n">
        <v>45495</v>
      </c>
      <c r="C619" s="10" t="s">
        <v>755</v>
      </c>
    </row>
    <row r="620" customFormat="false" ht="15" hidden="false" customHeight="true" outlineLevel="0" collapsed="false">
      <c r="A620" s="10" t="s">
        <v>238</v>
      </c>
      <c r="B620" s="11" t="n">
        <v>45496</v>
      </c>
      <c r="C620" s="10" t="s">
        <v>755</v>
      </c>
    </row>
    <row r="621" customFormat="false" ht="15" hidden="false" customHeight="true" outlineLevel="0" collapsed="false">
      <c r="A621" s="10" t="s">
        <v>238</v>
      </c>
      <c r="B621" s="11" t="n">
        <v>45497</v>
      </c>
      <c r="C621" s="10" t="s">
        <v>755</v>
      </c>
    </row>
    <row r="622" customFormat="false" ht="15" hidden="false" customHeight="true" outlineLevel="0" collapsed="false">
      <c r="A622" s="10" t="s">
        <v>238</v>
      </c>
      <c r="B622" s="11" t="n">
        <v>45498</v>
      </c>
      <c r="C622" s="10" t="s">
        <v>755</v>
      </c>
    </row>
    <row r="623" customFormat="false" ht="15" hidden="false" customHeight="true" outlineLevel="0" collapsed="false">
      <c r="A623" s="10" t="s">
        <v>238</v>
      </c>
      <c r="B623" s="11" t="n">
        <v>45499</v>
      </c>
      <c r="C623" s="10" t="s">
        <v>755</v>
      </c>
    </row>
    <row r="624" customFormat="false" ht="15" hidden="false" customHeight="true" outlineLevel="0" collapsed="false">
      <c r="A624" s="10" t="s">
        <v>238</v>
      </c>
      <c r="B624" s="11" t="n">
        <v>45516</v>
      </c>
      <c r="C624" s="10" t="s">
        <v>755</v>
      </c>
    </row>
    <row r="625" customFormat="false" ht="15" hidden="false" customHeight="true" outlineLevel="0" collapsed="false">
      <c r="A625" s="10" t="s">
        <v>238</v>
      </c>
      <c r="B625" s="11" t="n">
        <v>45517</v>
      </c>
      <c r="C625" s="10" t="s">
        <v>755</v>
      </c>
    </row>
    <row r="626" customFormat="false" ht="15" hidden="false" customHeight="true" outlineLevel="0" collapsed="false">
      <c r="A626" s="10" t="s">
        <v>238</v>
      </c>
      <c r="B626" s="11" t="n">
        <v>45518</v>
      </c>
      <c r="C626" s="10" t="s">
        <v>755</v>
      </c>
    </row>
    <row r="627" customFormat="false" ht="15" hidden="false" customHeight="true" outlineLevel="0" collapsed="false">
      <c r="A627" s="10" t="s">
        <v>238</v>
      </c>
      <c r="B627" s="11" t="n">
        <v>45519</v>
      </c>
      <c r="C627" s="10" t="s">
        <v>755</v>
      </c>
    </row>
    <row r="628" customFormat="false" ht="15" hidden="false" customHeight="true" outlineLevel="0" collapsed="false">
      <c r="A628" s="10" t="s">
        <v>238</v>
      </c>
      <c r="B628" s="11" t="n">
        <v>45520</v>
      </c>
      <c r="C628" s="10" t="s">
        <v>755</v>
      </c>
    </row>
    <row r="629" customFormat="false" ht="15" hidden="false" customHeight="true" outlineLevel="0" collapsed="false">
      <c r="A629" s="10" t="s">
        <v>238</v>
      </c>
      <c r="B629" s="11" t="n">
        <v>45523</v>
      </c>
      <c r="C629" s="10" t="s">
        <v>755</v>
      </c>
    </row>
    <row r="630" customFormat="false" ht="15" hidden="false" customHeight="true" outlineLevel="0" collapsed="false">
      <c r="A630" s="10" t="s">
        <v>238</v>
      </c>
      <c r="B630" s="11" t="n">
        <v>45524</v>
      </c>
      <c r="C630" s="10" t="s">
        <v>755</v>
      </c>
    </row>
    <row r="631" customFormat="false" ht="15" hidden="false" customHeight="true" outlineLevel="0" collapsed="false">
      <c r="A631" s="10" t="s">
        <v>238</v>
      </c>
      <c r="B631" s="11" t="n">
        <v>45525</v>
      </c>
      <c r="C631" s="10" t="s">
        <v>755</v>
      </c>
    </row>
    <row r="632" customFormat="false" ht="15" hidden="false" customHeight="true" outlineLevel="0" collapsed="false">
      <c r="A632" s="10" t="s">
        <v>238</v>
      </c>
      <c r="B632" s="11" t="n">
        <v>45526</v>
      </c>
      <c r="C632" s="10" t="s">
        <v>755</v>
      </c>
    </row>
    <row r="633" customFormat="false" ht="15" hidden="false" customHeight="true" outlineLevel="0" collapsed="false">
      <c r="A633" s="10" t="s">
        <v>238</v>
      </c>
      <c r="B633" s="11" t="n">
        <v>45527</v>
      </c>
      <c r="C633" s="10" t="s">
        <v>755</v>
      </c>
    </row>
    <row r="634" customFormat="false" ht="15" hidden="false" customHeight="true" outlineLevel="0" collapsed="false">
      <c r="A634" s="10" t="s">
        <v>238</v>
      </c>
      <c r="B634" s="11" t="n">
        <v>45551</v>
      </c>
      <c r="C634" s="10" t="s">
        <v>755</v>
      </c>
    </row>
    <row r="635" customFormat="false" ht="15" hidden="false" customHeight="true" outlineLevel="0" collapsed="false">
      <c r="A635" s="10" t="s">
        <v>238</v>
      </c>
      <c r="B635" s="11" t="n">
        <v>45552</v>
      </c>
      <c r="C635" s="10" t="s">
        <v>755</v>
      </c>
    </row>
    <row r="636" customFormat="false" ht="15" hidden="false" customHeight="true" outlineLevel="0" collapsed="false">
      <c r="A636" s="10" t="s">
        <v>238</v>
      </c>
      <c r="B636" s="11" t="n">
        <v>45553</v>
      </c>
      <c r="C636" s="10" t="s">
        <v>755</v>
      </c>
    </row>
    <row r="637" customFormat="false" ht="15" hidden="false" customHeight="true" outlineLevel="0" collapsed="false">
      <c r="A637" s="10" t="s">
        <v>238</v>
      </c>
      <c r="B637" s="11" t="n">
        <v>45554</v>
      </c>
      <c r="C637" s="10" t="s">
        <v>755</v>
      </c>
    </row>
    <row r="638" customFormat="false" ht="15" hidden="false" customHeight="true" outlineLevel="0" collapsed="false">
      <c r="A638" s="10" t="s">
        <v>238</v>
      </c>
      <c r="B638" s="11" t="n">
        <v>45555</v>
      </c>
      <c r="C638" s="10" t="s">
        <v>755</v>
      </c>
    </row>
    <row r="639" customFormat="false" ht="15" hidden="false" customHeight="true" outlineLevel="0" collapsed="false">
      <c r="A639" s="10" t="s">
        <v>238</v>
      </c>
      <c r="B639" s="11" t="n">
        <v>45560</v>
      </c>
      <c r="C639" s="10" t="s">
        <v>755</v>
      </c>
    </row>
    <row r="640" customFormat="false" ht="15" hidden="false" customHeight="true" outlineLevel="0" collapsed="false">
      <c r="A640" s="10" t="s">
        <v>238</v>
      </c>
      <c r="B640" s="11" t="n">
        <v>45561</v>
      </c>
      <c r="C640" s="10" t="s">
        <v>755</v>
      </c>
    </row>
    <row r="641" customFormat="false" ht="15" hidden="false" customHeight="true" outlineLevel="0" collapsed="false">
      <c r="A641" s="10" t="s">
        <v>238</v>
      </c>
      <c r="B641" s="11" t="n">
        <v>45562</v>
      </c>
      <c r="C641" s="10" t="s">
        <v>755</v>
      </c>
    </row>
    <row r="642" customFormat="false" ht="15" hidden="false" customHeight="true" outlineLevel="0" collapsed="false">
      <c r="A642" s="10" t="s">
        <v>241</v>
      </c>
      <c r="B642" s="11" t="n">
        <v>45488</v>
      </c>
      <c r="C642" s="10" t="s">
        <v>755</v>
      </c>
    </row>
    <row r="643" customFormat="false" ht="15" hidden="false" customHeight="true" outlineLevel="0" collapsed="false">
      <c r="A643" s="10" t="s">
        <v>241</v>
      </c>
      <c r="B643" s="11" t="n">
        <v>45489</v>
      </c>
      <c r="C643" s="10" t="s">
        <v>755</v>
      </c>
    </row>
    <row r="644" customFormat="false" ht="15" hidden="false" customHeight="true" outlineLevel="0" collapsed="false">
      <c r="A644" s="10" t="s">
        <v>241</v>
      </c>
      <c r="B644" s="11" t="n">
        <v>45491</v>
      </c>
      <c r="C644" s="10" t="s">
        <v>755</v>
      </c>
    </row>
    <row r="645" customFormat="false" ht="15" hidden="false" customHeight="true" outlineLevel="0" collapsed="false">
      <c r="A645" s="10" t="s">
        <v>241</v>
      </c>
      <c r="B645" s="11" t="n">
        <v>45495</v>
      </c>
      <c r="C645" s="10" t="s">
        <v>755</v>
      </c>
    </row>
    <row r="646" customFormat="false" ht="15" hidden="false" customHeight="true" outlineLevel="0" collapsed="false">
      <c r="A646" s="10" t="s">
        <v>241</v>
      </c>
      <c r="B646" s="11" t="n">
        <v>45496</v>
      </c>
      <c r="C646" s="10" t="s">
        <v>755</v>
      </c>
    </row>
    <row r="647" customFormat="false" ht="15" hidden="false" customHeight="true" outlineLevel="0" collapsed="false">
      <c r="A647" s="10" t="s">
        <v>241</v>
      </c>
      <c r="B647" s="11" t="n">
        <v>45498</v>
      </c>
      <c r="C647" s="10" t="s">
        <v>755</v>
      </c>
    </row>
    <row r="648" customFormat="false" ht="15" hidden="false" customHeight="true" outlineLevel="0" collapsed="false">
      <c r="A648" s="10" t="s">
        <v>241</v>
      </c>
      <c r="B648" s="11" t="n">
        <v>45551</v>
      </c>
      <c r="C648" s="10" t="s">
        <v>755</v>
      </c>
    </row>
    <row r="649" customFormat="false" ht="15" hidden="false" customHeight="true" outlineLevel="0" collapsed="false">
      <c r="A649" s="10" t="s">
        <v>241</v>
      </c>
      <c r="B649" s="11" t="n">
        <v>45552</v>
      </c>
      <c r="C649" s="10" t="s">
        <v>755</v>
      </c>
    </row>
    <row r="650" customFormat="false" ht="15" hidden="false" customHeight="true" outlineLevel="0" collapsed="false">
      <c r="A650" s="10" t="s">
        <v>241</v>
      </c>
      <c r="B650" s="11" t="n">
        <v>45554</v>
      </c>
      <c r="C650" s="10" t="s">
        <v>755</v>
      </c>
    </row>
    <row r="651" customFormat="false" ht="15" hidden="false" customHeight="true" outlineLevel="0" collapsed="false">
      <c r="A651" s="10" t="s">
        <v>244</v>
      </c>
      <c r="B651" s="11" t="n">
        <v>45493</v>
      </c>
      <c r="C651" s="10" t="s">
        <v>755</v>
      </c>
    </row>
    <row r="652" customFormat="false" ht="15" hidden="false" customHeight="true" outlineLevel="0" collapsed="false">
      <c r="A652" s="10" t="s">
        <v>244</v>
      </c>
      <c r="B652" s="11" t="n">
        <v>45514</v>
      </c>
      <c r="C652" s="10" t="s">
        <v>755</v>
      </c>
    </row>
    <row r="653" customFormat="false" ht="15" hidden="false" customHeight="true" outlineLevel="0" collapsed="false">
      <c r="A653" s="10" t="s">
        <v>244</v>
      </c>
      <c r="B653" s="11" t="n">
        <v>45522</v>
      </c>
      <c r="C653" s="10" t="s">
        <v>755</v>
      </c>
    </row>
    <row r="654" customFormat="false" ht="15" hidden="false" customHeight="true" outlineLevel="0" collapsed="false">
      <c r="A654" s="10" t="s">
        <v>244</v>
      </c>
      <c r="B654" s="11" t="n">
        <v>45528</v>
      </c>
      <c r="C654" s="10" t="s">
        <v>755</v>
      </c>
    </row>
    <row r="655" customFormat="false" ht="15" hidden="false" customHeight="true" outlineLevel="0" collapsed="false">
      <c r="A655" s="10" t="s">
        <v>244</v>
      </c>
      <c r="B655" s="11" t="n">
        <v>45535</v>
      </c>
      <c r="C655" s="10" t="s">
        <v>755</v>
      </c>
    </row>
    <row r="656" customFormat="false" ht="15" hidden="false" customHeight="true" outlineLevel="0" collapsed="false">
      <c r="A656" s="10" t="s">
        <v>244</v>
      </c>
      <c r="B656" s="11" t="n">
        <v>45556</v>
      </c>
      <c r="C656" s="10" t="s">
        <v>755</v>
      </c>
    </row>
    <row r="657" customFormat="false" ht="15" hidden="false" customHeight="true" outlineLevel="0" collapsed="false">
      <c r="A657" s="10" t="s">
        <v>246</v>
      </c>
      <c r="B657" s="11" t="n">
        <v>45501</v>
      </c>
      <c r="C657" s="10" t="s">
        <v>755</v>
      </c>
    </row>
    <row r="658" customFormat="false" ht="15" hidden="false" customHeight="true" outlineLevel="0" collapsed="false">
      <c r="A658" s="10" t="s">
        <v>246</v>
      </c>
      <c r="B658" s="11" t="n">
        <v>45502</v>
      </c>
      <c r="C658" s="10" t="s">
        <v>755</v>
      </c>
    </row>
    <row r="659" customFormat="false" ht="15" hidden="false" customHeight="true" outlineLevel="0" collapsed="false">
      <c r="A659" s="10" t="s">
        <v>246</v>
      </c>
      <c r="B659" s="11" t="n">
        <v>45504</v>
      </c>
      <c r="C659" s="10" t="s">
        <v>755</v>
      </c>
    </row>
    <row r="660" customFormat="false" ht="15" hidden="false" customHeight="true" outlineLevel="0" collapsed="false">
      <c r="A660" s="10" t="s">
        <v>246</v>
      </c>
      <c r="B660" s="11" t="n">
        <v>45523</v>
      </c>
      <c r="C660" s="10" t="s">
        <v>755</v>
      </c>
    </row>
    <row r="661" customFormat="false" ht="15" hidden="false" customHeight="true" outlineLevel="0" collapsed="false">
      <c r="A661" s="10" t="s">
        <v>246</v>
      </c>
      <c r="B661" s="11" t="n">
        <v>45524</v>
      </c>
      <c r="C661" s="10" t="s">
        <v>755</v>
      </c>
    </row>
    <row r="662" customFormat="false" ht="15" hidden="false" customHeight="true" outlineLevel="0" collapsed="false">
      <c r="A662" s="10" t="s">
        <v>246</v>
      </c>
      <c r="B662" s="11" t="n">
        <v>45526</v>
      </c>
      <c r="C662" s="10" t="s">
        <v>755</v>
      </c>
    </row>
    <row r="663" customFormat="false" ht="15" hidden="false" customHeight="true" outlineLevel="0" collapsed="false">
      <c r="A663" s="10" t="s">
        <v>246</v>
      </c>
      <c r="B663" s="11" t="n">
        <v>45529</v>
      </c>
      <c r="C663" s="10" t="s">
        <v>755</v>
      </c>
    </row>
    <row r="664" customFormat="false" ht="15" hidden="false" customHeight="true" outlineLevel="0" collapsed="false">
      <c r="A664" s="10" t="s">
        <v>246</v>
      </c>
      <c r="B664" s="11" t="n">
        <v>45530</v>
      </c>
      <c r="C664" s="10" t="s">
        <v>755</v>
      </c>
    </row>
    <row r="665" customFormat="false" ht="15" hidden="false" customHeight="true" outlineLevel="0" collapsed="false">
      <c r="A665" s="10" t="s">
        <v>246</v>
      </c>
      <c r="B665" s="11" t="n">
        <v>45532</v>
      </c>
      <c r="C665" s="10" t="s">
        <v>755</v>
      </c>
    </row>
    <row r="666" customFormat="false" ht="15" hidden="false" customHeight="true" outlineLevel="0" collapsed="false">
      <c r="A666" s="10" t="s">
        <v>246</v>
      </c>
      <c r="B666" s="11" t="n">
        <v>45536</v>
      </c>
      <c r="C666" s="10" t="s">
        <v>755</v>
      </c>
    </row>
    <row r="667" customFormat="false" ht="15" hidden="false" customHeight="true" outlineLevel="0" collapsed="false">
      <c r="A667" s="10" t="s">
        <v>246</v>
      </c>
      <c r="B667" s="11" t="n">
        <v>45537</v>
      </c>
      <c r="C667" s="10" t="s">
        <v>755</v>
      </c>
    </row>
    <row r="668" customFormat="false" ht="15" hidden="false" customHeight="true" outlineLevel="0" collapsed="false">
      <c r="A668" s="10" t="s">
        <v>246</v>
      </c>
      <c r="B668" s="11" t="n">
        <v>45539</v>
      </c>
      <c r="C668" s="10" t="s">
        <v>755</v>
      </c>
    </row>
    <row r="669" customFormat="false" ht="15" hidden="false" customHeight="true" outlineLevel="0" collapsed="false">
      <c r="A669" s="10" t="s">
        <v>246</v>
      </c>
      <c r="B669" s="11" t="n">
        <v>45551</v>
      </c>
      <c r="C669" s="10" t="s">
        <v>755</v>
      </c>
    </row>
    <row r="670" customFormat="false" ht="15" hidden="false" customHeight="true" outlineLevel="0" collapsed="false">
      <c r="A670" s="10" t="s">
        <v>246</v>
      </c>
      <c r="B670" s="11" t="n">
        <v>45552</v>
      </c>
      <c r="C670" s="10" t="s">
        <v>755</v>
      </c>
    </row>
    <row r="671" customFormat="false" ht="15" hidden="false" customHeight="true" outlineLevel="0" collapsed="false">
      <c r="A671" s="10" t="s">
        <v>246</v>
      </c>
      <c r="B671" s="11" t="n">
        <v>45554</v>
      </c>
      <c r="C671" s="10" t="s">
        <v>755</v>
      </c>
    </row>
    <row r="672" customFormat="false" ht="15" hidden="false" customHeight="true" outlineLevel="0" collapsed="false">
      <c r="A672" s="10" t="s">
        <v>246</v>
      </c>
      <c r="B672" s="11" t="n">
        <v>45558</v>
      </c>
      <c r="C672" s="10" t="s">
        <v>755</v>
      </c>
    </row>
    <row r="673" customFormat="false" ht="15" hidden="false" customHeight="true" outlineLevel="0" collapsed="false">
      <c r="A673" s="10" t="s">
        <v>246</v>
      </c>
      <c r="B673" s="11" t="n">
        <v>45559</v>
      </c>
      <c r="C673" s="10" t="s">
        <v>755</v>
      </c>
    </row>
    <row r="674" customFormat="false" ht="15" hidden="false" customHeight="true" outlineLevel="0" collapsed="false">
      <c r="A674" s="10" t="s">
        <v>246</v>
      </c>
      <c r="B674" s="11" t="n">
        <v>45561</v>
      </c>
      <c r="C674" s="10" t="s">
        <v>755</v>
      </c>
    </row>
    <row r="675" customFormat="false" ht="15" hidden="false" customHeight="true" outlineLevel="0" collapsed="false">
      <c r="A675" s="10" t="s">
        <v>246</v>
      </c>
      <c r="B675" s="11" t="n">
        <v>45564</v>
      </c>
      <c r="C675" s="10" t="s">
        <v>755</v>
      </c>
    </row>
    <row r="676" customFormat="false" ht="15" hidden="false" customHeight="true" outlineLevel="0" collapsed="false">
      <c r="A676" s="10" t="s">
        <v>246</v>
      </c>
      <c r="B676" s="11" t="n">
        <v>45565</v>
      </c>
      <c r="C676" s="10" t="s">
        <v>755</v>
      </c>
    </row>
    <row r="677" customFormat="false" ht="15" hidden="false" customHeight="true" outlineLevel="0" collapsed="false">
      <c r="A677" s="10" t="s">
        <v>246</v>
      </c>
      <c r="B677" s="11" t="n">
        <v>45567</v>
      </c>
      <c r="C677" s="10" t="s">
        <v>755</v>
      </c>
    </row>
    <row r="678" customFormat="false" ht="15" hidden="false" customHeight="true" outlineLevel="0" collapsed="false">
      <c r="A678" s="10" t="s">
        <v>250</v>
      </c>
      <c r="B678" s="11" t="n">
        <v>45502</v>
      </c>
      <c r="C678" s="10" t="s">
        <v>755</v>
      </c>
    </row>
    <row r="679" customFormat="false" ht="15" hidden="false" customHeight="true" outlineLevel="0" collapsed="false">
      <c r="A679" s="10" t="s">
        <v>250</v>
      </c>
      <c r="B679" s="11" t="n">
        <v>45503</v>
      </c>
      <c r="C679" s="10" t="s">
        <v>755</v>
      </c>
    </row>
    <row r="680" customFormat="false" ht="15" hidden="false" customHeight="true" outlineLevel="0" collapsed="false">
      <c r="A680" s="10" t="s">
        <v>250</v>
      </c>
      <c r="B680" s="11" t="n">
        <v>45504</v>
      </c>
      <c r="C680" s="10" t="s">
        <v>755</v>
      </c>
    </row>
    <row r="681" customFormat="false" ht="15" hidden="false" customHeight="true" outlineLevel="0" collapsed="false">
      <c r="A681" s="10" t="s">
        <v>250</v>
      </c>
      <c r="B681" s="11" t="n">
        <v>45505</v>
      </c>
      <c r="C681" s="10" t="s">
        <v>755</v>
      </c>
    </row>
    <row r="682" customFormat="false" ht="15" hidden="false" customHeight="true" outlineLevel="0" collapsed="false">
      <c r="A682" s="10" t="s">
        <v>250</v>
      </c>
      <c r="B682" s="11" t="n">
        <v>45506</v>
      </c>
      <c r="C682" s="10" t="s">
        <v>755</v>
      </c>
    </row>
    <row r="683" customFormat="false" ht="15" hidden="false" customHeight="true" outlineLevel="0" collapsed="false">
      <c r="A683" s="10" t="s">
        <v>250</v>
      </c>
      <c r="B683" s="11" t="n">
        <v>45509</v>
      </c>
      <c r="C683" s="10" t="s">
        <v>755</v>
      </c>
    </row>
    <row r="684" customFormat="false" ht="15" hidden="false" customHeight="true" outlineLevel="0" collapsed="false">
      <c r="A684" s="10" t="s">
        <v>250</v>
      </c>
      <c r="B684" s="11" t="n">
        <v>45510</v>
      </c>
      <c r="C684" s="10" t="s">
        <v>755</v>
      </c>
    </row>
    <row r="685" customFormat="false" ht="15" hidden="false" customHeight="true" outlineLevel="0" collapsed="false">
      <c r="A685" s="10" t="s">
        <v>250</v>
      </c>
      <c r="B685" s="11" t="n">
        <v>45511</v>
      </c>
      <c r="C685" s="10" t="s">
        <v>755</v>
      </c>
    </row>
    <row r="686" customFormat="false" ht="15" hidden="false" customHeight="true" outlineLevel="0" collapsed="false">
      <c r="A686" s="10" t="s">
        <v>250</v>
      </c>
      <c r="B686" s="11" t="n">
        <v>45512</v>
      </c>
      <c r="C686" s="10" t="s">
        <v>755</v>
      </c>
    </row>
    <row r="687" customFormat="false" ht="15" hidden="false" customHeight="true" outlineLevel="0" collapsed="false">
      <c r="A687" s="10" t="s">
        <v>250</v>
      </c>
      <c r="B687" s="11" t="n">
        <v>45530</v>
      </c>
      <c r="C687" s="10" t="s">
        <v>755</v>
      </c>
    </row>
    <row r="688" customFormat="false" ht="15" hidden="false" customHeight="true" outlineLevel="0" collapsed="false">
      <c r="A688" s="10" t="s">
        <v>250</v>
      </c>
      <c r="B688" s="11" t="n">
        <v>45531</v>
      </c>
      <c r="C688" s="10" t="s">
        <v>755</v>
      </c>
    </row>
    <row r="689" customFormat="false" ht="15" hidden="false" customHeight="true" outlineLevel="0" collapsed="false">
      <c r="A689" s="10" t="s">
        <v>250</v>
      </c>
      <c r="B689" s="11" t="n">
        <v>45532</v>
      </c>
      <c r="C689" s="10" t="s">
        <v>755</v>
      </c>
    </row>
    <row r="690" customFormat="false" ht="15" hidden="false" customHeight="true" outlineLevel="0" collapsed="false">
      <c r="A690" s="10" t="s">
        <v>250</v>
      </c>
      <c r="B690" s="11" t="n">
        <v>45533</v>
      </c>
      <c r="C690" s="10" t="s">
        <v>755</v>
      </c>
    </row>
    <row r="691" customFormat="false" ht="15" hidden="false" customHeight="true" outlineLevel="0" collapsed="false">
      <c r="A691" s="10" t="s">
        <v>250</v>
      </c>
      <c r="B691" s="11" t="n">
        <v>45534</v>
      </c>
      <c r="C691" s="10" t="s">
        <v>755</v>
      </c>
    </row>
    <row r="692" customFormat="false" ht="15" hidden="false" customHeight="true" outlineLevel="0" collapsed="false">
      <c r="A692" s="10" t="s">
        <v>250</v>
      </c>
      <c r="B692" s="11" t="n">
        <v>45537</v>
      </c>
      <c r="C692" s="10" t="s">
        <v>755</v>
      </c>
    </row>
    <row r="693" customFormat="false" ht="15" hidden="false" customHeight="true" outlineLevel="0" collapsed="false">
      <c r="A693" s="10" t="s">
        <v>250</v>
      </c>
      <c r="B693" s="11" t="n">
        <v>45538</v>
      </c>
      <c r="C693" s="10" t="s">
        <v>755</v>
      </c>
    </row>
    <row r="694" customFormat="false" ht="15" hidden="false" customHeight="true" outlineLevel="0" collapsed="false">
      <c r="A694" s="10" t="s">
        <v>250</v>
      </c>
      <c r="B694" s="11" t="n">
        <v>45539</v>
      </c>
      <c r="C694" s="10" t="s">
        <v>755</v>
      </c>
    </row>
    <row r="695" customFormat="false" ht="15" hidden="false" customHeight="true" outlineLevel="0" collapsed="false">
      <c r="A695" s="10" t="s">
        <v>250</v>
      </c>
      <c r="B695" s="11" t="n">
        <v>45540</v>
      </c>
      <c r="C695" s="10" t="s">
        <v>755</v>
      </c>
    </row>
    <row r="696" customFormat="false" ht="15" hidden="false" customHeight="true" outlineLevel="0" collapsed="false">
      <c r="A696" s="10" t="s">
        <v>250</v>
      </c>
      <c r="B696" s="11" t="n">
        <v>45541</v>
      </c>
      <c r="C696" s="10" t="s">
        <v>755</v>
      </c>
    </row>
    <row r="697" customFormat="false" ht="15" hidden="false" customHeight="true" outlineLevel="0" collapsed="false">
      <c r="A697" s="10" t="s">
        <v>250</v>
      </c>
      <c r="B697" s="11" t="n">
        <v>45560</v>
      </c>
      <c r="C697" s="10" t="s">
        <v>755</v>
      </c>
    </row>
    <row r="698" customFormat="false" ht="15" hidden="false" customHeight="true" outlineLevel="0" collapsed="false">
      <c r="A698" s="10" t="s">
        <v>250</v>
      </c>
      <c r="B698" s="11" t="n">
        <v>45561</v>
      </c>
      <c r="C698" s="10" t="s">
        <v>755</v>
      </c>
    </row>
    <row r="699" customFormat="false" ht="15" hidden="false" customHeight="true" outlineLevel="0" collapsed="false">
      <c r="A699" s="10" t="s">
        <v>250</v>
      </c>
      <c r="B699" s="11" t="n">
        <v>45562</v>
      </c>
      <c r="C699" s="10" t="s">
        <v>755</v>
      </c>
    </row>
    <row r="700" customFormat="false" ht="15" hidden="false" customHeight="true" outlineLevel="0" collapsed="false">
      <c r="A700" s="10" t="s">
        <v>254</v>
      </c>
      <c r="B700" s="11" t="n">
        <v>45502</v>
      </c>
      <c r="C700" s="10" t="s">
        <v>755</v>
      </c>
    </row>
    <row r="701" customFormat="false" ht="15" hidden="false" customHeight="true" outlineLevel="0" collapsed="false">
      <c r="A701" s="10" t="s">
        <v>254</v>
      </c>
      <c r="B701" s="11" t="n">
        <v>45503</v>
      </c>
      <c r="C701" s="10" t="s">
        <v>755</v>
      </c>
    </row>
    <row r="702" customFormat="false" ht="15" hidden="false" customHeight="true" outlineLevel="0" collapsed="false">
      <c r="A702" s="10" t="s">
        <v>254</v>
      </c>
      <c r="B702" s="11" t="n">
        <v>45504</v>
      </c>
      <c r="C702" s="10" t="s">
        <v>755</v>
      </c>
    </row>
    <row r="703" customFormat="false" ht="15" hidden="false" customHeight="true" outlineLevel="0" collapsed="false">
      <c r="A703" s="10" t="s">
        <v>254</v>
      </c>
      <c r="B703" s="11" t="n">
        <v>45505</v>
      </c>
      <c r="C703" s="10" t="s">
        <v>755</v>
      </c>
    </row>
    <row r="704" customFormat="false" ht="15" hidden="false" customHeight="true" outlineLevel="0" collapsed="false">
      <c r="A704" s="10" t="s">
        <v>254</v>
      </c>
      <c r="B704" s="11" t="n">
        <v>45506</v>
      </c>
      <c r="C704" s="10" t="s">
        <v>755</v>
      </c>
    </row>
    <row r="705" customFormat="false" ht="15" hidden="false" customHeight="true" outlineLevel="0" collapsed="false">
      <c r="A705" s="10" t="s">
        <v>254</v>
      </c>
      <c r="B705" s="11" t="n">
        <v>45509</v>
      </c>
      <c r="C705" s="10" t="s">
        <v>755</v>
      </c>
    </row>
    <row r="706" customFormat="false" ht="15" hidden="false" customHeight="true" outlineLevel="0" collapsed="false">
      <c r="A706" s="10" t="s">
        <v>254</v>
      </c>
      <c r="B706" s="11" t="n">
        <v>45510</v>
      </c>
      <c r="C706" s="10" t="s">
        <v>755</v>
      </c>
    </row>
    <row r="707" customFormat="false" ht="15" hidden="false" customHeight="true" outlineLevel="0" collapsed="false">
      <c r="A707" s="10" t="s">
        <v>254</v>
      </c>
      <c r="B707" s="11" t="n">
        <v>45511</v>
      </c>
      <c r="C707" s="10" t="s">
        <v>755</v>
      </c>
    </row>
    <row r="708" customFormat="false" ht="15" hidden="false" customHeight="true" outlineLevel="0" collapsed="false">
      <c r="A708" s="10" t="s">
        <v>254</v>
      </c>
      <c r="B708" s="11" t="n">
        <v>45512</v>
      </c>
      <c r="C708" s="10" t="s">
        <v>755</v>
      </c>
    </row>
    <row r="709" customFormat="false" ht="15" hidden="false" customHeight="true" outlineLevel="0" collapsed="false">
      <c r="A709" s="10" t="s">
        <v>254</v>
      </c>
      <c r="B709" s="11" t="n">
        <v>45565</v>
      </c>
      <c r="C709" s="10" t="s">
        <v>755</v>
      </c>
    </row>
    <row r="710" customFormat="false" ht="15" hidden="false" customHeight="true" outlineLevel="0" collapsed="false">
      <c r="A710" s="10" t="s">
        <v>254</v>
      </c>
      <c r="B710" s="11" t="n">
        <v>45566</v>
      </c>
      <c r="C710" s="10" t="s">
        <v>755</v>
      </c>
    </row>
    <row r="711" customFormat="false" ht="15" hidden="false" customHeight="true" outlineLevel="0" collapsed="false">
      <c r="A711" s="10" t="s">
        <v>254</v>
      </c>
      <c r="B711" s="11" t="n">
        <v>45567</v>
      </c>
      <c r="C711" s="10" t="s">
        <v>755</v>
      </c>
    </row>
    <row r="712" customFormat="false" ht="15" hidden="false" customHeight="true" outlineLevel="0" collapsed="false">
      <c r="A712" s="10" t="s">
        <v>254</v>
      </c>
      <c r="B712" s="11" t="n">
        <v>45568</v>
      </c>
      <c r="C712" s="10" t="s">
        <v>755</v>
      </c>
    </row>
    <row r="713" customFormat="false" ht="15" hidden="false" customHeight="true" outlineLevel="0" collapsed="false">
      <c r="A713" s="10" t="s">
        <v>258</v>
      </c>
      <c r="B713" s="11" t="n">
        <v>45530</v>
      </c>
      <c r="C713" s="10" t="s">
        <v>755</v>
      </c>
    </row>
    <row r="714" customFormat="false" ht="15" hidden="false" customHeight="true" outlineLevel="0" collapsed="false">
      <c r="A714" s="10" t="s">
        <v>258</v>
      </c>
      <c r="B714" s="11" t="n">
        <v>45531</v>
      </c>
      <c r="C714" s="10" t="s">
        <v>755</v>
      </c>
    </row>
    <row r="715" customFormat="false" ht="15" hidden="false" customHeight="true" outlineLevel="0" collapsed="false">
      <c r="A715" s="10" t="s">
        <v>258</v>
      </c>
      <c r="B715" s="11" t="n">
        <v>45532</v>
      </c>
      <c r="C715" s="10" t="s">
        <v>755</v>
      </c>
    </row>
    <row r="716" customFormat="false" ht="15" hidden="false" customHeight="true" outlineLevel="0" collapsed="false">
      <c r="A716" s="10" t="s">
        <v>258</v>
      </c>
      <c r="B716" s="11" t="n">
        <v>45533</v>
      </c>
      <c r="C716" s="10" t="s">
        <v>755</v>
      </c>
    </row>
    <row r="717" customFormat="false" ht="15" hidden="false" customHeight="true" outlineLevel="0" collapsed="false">
      <c r="A717" s="10" t="s">
        <v>258</v>
      </c>
      <c r="B717" s="11" t="n">
        <v>45534</v>
      </c>
      <c r="C717" s="10" t="s">
        <v>755</v>
      </c>
    </row>
    <row r="718" customFormat="false" ht="15" hidden="false" customHeight="true" outlineLevel="0" collapsed="false">
      <c r="A718" s="10" t="s">
        <v>258</v>
      </c>
      <c r="B718" s="11" t="n">
        <v>45537</v>
      </c>
      <c r="C718" s="10" t="s">
        <v>755</v>
      </c>
    </row>
    <row r="719" customFormat="false" ht="15" hidden="false" customHeight="true" outlineLevel="0" collapsed="false">
      <c r="A719" s="10" t="s">
        <v>258</v>
      </c>
      <c r="B719" s="11" t="n">
        <v>45538</v>
      </c>
      <c r="C719" s="10" t="s">
        <v>755</v>
      </c>
    </row>
    <row r="720" customFormat="false" ht="15" hidden="false" customHeight="true" outlineLevel="0" collapsed="false">
      <c r="A720" s="10" t="s">
        <v>258</v>
      </c>
      <c r="B720" s="11" t="n">
        <v>45539</v>
      </c>
      <c r="C720" s="10" t="s">
        <v>755</v>
      </c>
    </row>
    <row r="721" customFormat="false" ht="15" hidden="false" customHeight="true" outlineLevel="0" collapsed="false">
      <c r="A721" s="10" t="s">
        <v>258</v>
      </c>
      <c r="B721" s="11" t="n">
        <v>45540</v>
      </c>
      <c r="C721" s="10" t="s">
        <v>755</v>
      </c>
    </row>
    <row r="722" customFormat="false" ht="15" hidden="false" customHeight="true" outlineLevel="0" collapsed="false">
      <c r="A722" s="10" t="s">
        <v>258</v>
      </c>
      <c r="B722" s="11" t="n">
        <v>45541</v>
      </c>
      <c r="C722" s="10" t="s">
        <v>755</v>
      </c>
    </row>
    <row r="723" customFormat="false" ht="15" hidden="false" customHeight="true" outlineLevel="0" collapsed="false">
      <c r="A723" s="10" t="s">
        <v>261</v>
      </c>
      <c r="B723" s="11" t="n">
        <v>45530</v>
      </c>
      <c r="C723" s="10" t="s">
        <v>755</v>
      </c>
    </row>
    <row r="724" customFormat="false" ht="15" hidden="false" customHeight="true" outlineLevel="0" collapsed="false">
      <c r="A724" s="10" t="s">
        <v>261</v>
      </c>
      <c r="B724" s="11" t="n">
        <v>45531</v>
      </c>
      <c r="C724" s="10" t="s">
        <v>755</v>
      </c>
    </row>
    <row r="725" customFormat="false" ht="15" hidden="false" customHeight="true" outlineLevel="0" collapsed="false">
      <c r="A725" s="10" t="s">
        <v>261</v>
      </c>
      <c r="B725" s="11" t="n">
        <v>45532</v>
      </c>
      <c r="C725" s="10" t="s">
        <v>755</v>
      </c>
    </row>
    <row r="726" customFormat="false" ht="15" hidden="false" customHeight="true" outlineLevel="0" collapsed="false">
      <c r="A726" s="10" t="s">
        <v>261</v>
      </c>
      <c r="B726" s="11" t="n">
        <v>45533</v>
      </c>
      <c r="C726" s="10" t="s">
        <v>755</v>
      </c>
    </row>
    <row r="727" customFormat="false" ht="15" hidden="false" customHeight="true" outlineLevel="0" collapsed="false">
      <c r="A727" s="10" t="s">
        <v>261</v>
      </c>
      <c r="B727" s="11" t="n">
        <v>45534</v>
      </c>
      <c r="C727" s="10" t="s">
        <v>755</v>
      </c>
    </row>
    <row r="728" customFormat="false" ht="15" hidden="false" customHeight="true" outlineLevel="0" collapsed="false">
      <c r="A728" s="10" t="s">
        <v>264</v>
      </c>
      <c r="B728" s="11" t="n">
        <v>45488</v>
      </c>
      <c r="C728" s="10" t="s">
        <v>755</v>
      </c>
    </row>
    <row r="729" customFormat="false" ht="15" hidden="false" customHeight="true" outlineLevel="0" collapsed="false">
      <c r="A729" s="10" t="s">
        <v>264</v>
      </c>
      <c r="B729" s="11" t="n">
        <v>45489</v>
      </c>
      <c r="C729" s="10" t="s">
        <v>755</v>
      </c>
    </row>
    <row r="730" customFormat="false" ht="15" hidden="false" customHeight="true" outlineLevel="0" collapsed="false">
      <c r="A730" s="10" t="s">
        <v>264</v>
      </c>
      <c r="B730" s="11" t="n">
        <v>45490</v>
      </c>
      <c r="C730" s="10" t="s">
        <v>755</v>
      </c>
    </row>
    <row r="731" customFormat="false" ht="15" hidden="false" customHeight="true" outlineLevel="0" collapsed="false">
      <c r="A731" s="10" t="s">
        <v>264</v>
      </c>
      <c r="B731" s="11" t="n">
        <v>45491</v>
      </c>
      <c r="C731" s="10" t="s">
        <v>755</v>
      </c>
    </row>
    <row r="732" customFormat="false" ht="15" hidden="false" customHeight="true" outlineLevel="0" collapsed="false">
      <c r="A732" s="10" t="s">
        <v>264</v>
      </c>
      <c r="B732" s="11" t="n">
        <v>45492</v>
      </c>
      <c r="C732" s="10" t="s">
        <v>755</v>
      </c>
    </row>
    <row r="733" customFormat="false" ht="15" hidden="false" customHeight="true" outlineLevel="0" collapsed="false">
      <c r="A733" s="10" t="s">
        <v>267</v>
      </c>
      <c r="B733" s="11" t="n">
        <v>45488</v>
      </c>
      <c r="C733" s="10" t="s">
        <v>755</v>
      </c>
    </row>
    <row r="734" customFormat="false" ht="15" hidden="false" customHeight="true" outlineLevel="0" collapsed="false">
      <c r="A734" s="10" t="s">
        <v>267</v>
      </c>
      <c r="B734" s="11" t="n">
        <v>45489</v>
      </c>
      <c r="C734" s="10" t="s">
        <v>755</v>
      </c>
    </row>
    <row r="735" customFormat="false" ht="15" hidden="false" customHeight="true" outlineLevel="0" collapsed="false">
      <c r="A735" s="10" t="s">
        <v>267</v>
      </c>
      <c r="B735" s="11" t="n">
        <v>45490</v>
      </c>
      <c r="C735" s="10" t="s">
        <v>755</v>
      </c>
    </row>
    <row r="736" customFormat="false" ht="15" hidden="false" customHeight="true" outlineLevel="0" collapsed="false">
      <c r="A736" s="10" t="s">
        <v>267</v>
      </c>
      <c r="B736" s="11" t="n">
        <v>45491</v>
      </c>
      <c r="C736" s="10" t="s">
        <v>755</v>
      </c>
    </row>
    <row r="737" customFormat="false" ht="15" hidden="false" customHeight="true" outlineLevel="0" collapsed="false">
      <c r="A737" s="10" t="s">
        <v>267</v>
      </c>
      <c r="B737" s="11" t="n">
        <v>45492</v>
      </c>
      <c r="C737" s="10" t="s">
        <v>755</v>
      </c>
    </row>
    <row r="738" customFormat="false" ht="15" hidden="false" customHeight="true" outlineLevel="0" collapsed="false">
      <c r="A738" s="10" t="s">
        <v>267</v>
      </c>
      <c r="B738" s="11" t="n">
        <v>45495</v>
      </c>
      <c r="C738" s="10" t="s">
        <v>755</v>
      </c>
    </row>
    <row r="739" customFormat="false" ht="15" hidden="false" customHeight="true" outlineLevel="0" collapsed="false">
      <c r="A739" s="10" t="s">
        <v>267</v>
      </c>
      <c r="B739" s="11" t="n">
        <v>45496</v>
      </c>
      <c r="C739" s="10" t="s">
        <v>755</v>
      </c>
    </row>
    <row r="740" customFormat="false" ht="15" hidden="false" customHeight="true" outlineLevel="0" collapsed="false">
      <c r="A740" s="10" t="s">
        <v>267</v>
      </c>
      <c r="B740" s="11" t="n">
        <v>45497</v>
      </c>
      <c r="C740" s="10" t="s">
        <v>755</v>
      </c>
    </row>
    <row r="741" customFormat="false" ht="15" hidden="false" customHeight="true" outlineLevel="0" collapsed="false">
      <c r="A741" s="10" t="s">
        <v>267</v>
      </c>
      <c r="B741" s="11" t="n">
        <v>45498</v>
      </c>
      <c r="C741" s="10" t="s">
        <v>755</v>
      </c>
    </row>
    <row r="742" customFormat="false" ht="15" hidden="false" customHeight="true" outlineLevel="0" collapsed="false">
      <c r="A742" s="10" t="s">
        <v>267</v>
      </c>
      <c r="B742" s="11" t="n">
        <v>45499</v>
      </c>
      <c r="C742" s="10" t="s">
        <v>755</v>
      </c>
    </row>
    <row r="743" customFormat="false" ht="15" hidden="false" customHeight="true" outlineLevel="0" collapsed="false">
      <c r="A743" s="10" t="s">
        <v>271</v>
      </c>
      <c r="B743" s="11" t="n">
        <v>45488</v>
      </c>
      <c r="C743" s="10" t="s">
        <v>755</v>
      </c>
    </row>
    <row r="744" customFormat="false" ht="15" hidden="false" customHeight="true" outlineLevel="0" collapsed="false">
      <c r="A744" s="10" t="s">
        <v>271</v>
      </c>
      <c r="B744" s="11" t="n">
        <v>45506</v>
      </c>
      <c r="C744" s="10" t="s">
        <v>755</v>
      </c>
    </row>
    <row r="745" customFormat="false" ht="15" hidden="false" customHeight="true" outlineLevel="0" collapsed="false">
      <c r="A745" s="10" t="s">
        <v>276</v>
      </c>
      <c r="B745" s="11" t="n">
        <v>45488</v>
      </c>
      <c r="C745" s="10" t="s">
        <v>755</v>
      </c>
    </row>
    <row r="746" customFormat="false" ht="15" hidden="false" customHeight="true" outlineLevel="0" collapsed="false">
      <c r="A746" s="10" t="s">
        <v>276</v>
      </c>
      <c r="B746" s="11" t="n">
        <v>45489</v>
      </c>
      <c r="C746" s="10" t="s">
        <v>755</v>
      </c>
    </row>
    <row r="747" customFormat="false" ht="15" hidden="false" customHeight="true" outlineLevel="0" collapsed="false">
      <c r="A747" s="10" t="s">
        <v>276</v>
      </c>
      <c r="B747" s="11" t="n">
        <v>45490</v>
      </c>
      <c r="C747" s="10" t="s">
        <v>755</v>
      </c>
    </row>
    <row r="748" customFormat="false" ht="15" hidden="false" customHeight="true" outlineLevel="0" collapsed="false">
      <c r="A748" s="10" t="s">
        <v>276</v>
      </c>
      <c r="B748" s="11" t="n">
        <v>45491</v>
      </c>
      <c r="C748" s="10" t="s">
        <v>755</v>
      </c>
    </row>
    <row r="749" customFormat="false" ht="15" hidden="false" customHeight="true" outlineLevel="0" collapsed="false">
      <c r="A749" s="10" t="s">
        <v>276</v>
      </c>
      <c r="B749" s="11" t="n">
        <v>45492</v>
      </c>
      <c r="C749" s="10" t="s">
        <v>755</v>
      </c>
    </row>
    <row r="750" customFormat="false" ht="15" hidden="false" customHeight="true" outlineLevel="0" collapsed="false">
      <c r="A750" s="10" t="s">
        <v>276</v>
      </c>
      <c r="B750" s="11" t="n">
        <v>45495</v>
      </c>
      <c r="C750" s="10" t="s">
        <v>755</v>
      </c>
    </row>
    <row r="751" customFormat="false" ht="15" hidden="false" customHeight="true" outlineLevel="0" collapsed="false">
      <c r="A751" s="10" t="s">
        <v>276</v>
      </c>
      <c r="B751" s="11" t="n">
        <v>45496</v>
      </c>
      <c r="C751" s="10" t="s">
        <v>755</v>
      </c>
    </row>
    <row r="752" customFormat="false" ht="15" hidden="false" customHeight="true" outlineLevel="0" collapsed="false">
      <c r="A752" s="10" t="s">
        <v>276</v>
      </c>
      <c r="B752" s="11" t="n">
        <v>45497</v>
      </c>
      <c r="C752" s="10" t="s">
        <v>755</v>
      </c>
    </row>
    <row r="753" customFormat="false" ht="15" hidden="false" customHeight="true" outlineLevel="0" collapsed="false">
      <c r="A753" s="10" t="s">
        <v>276</v>
      </c>
      <c r="B753" s="11" t="n">
        <v>45498</v>
      </c>
      <c r="C753" s="10" t="s">
        <v>755</v>
      </c>
    </row>
    <row r="754" customFormat="false" ht="15" hidden="false" customHeight="true" outlineLevel="0" collapsed="false">
      <c r="A754" s="10" t="s">
        <v>276</v>
      </c>
      <c r="B754" s="11" t="n">
        <v>45499</v>
      </c>
      <c r="C754" s="10" t="s">
        <v>755</v>
      </c>
    </row>
    <row r="755" customFormat="false" ht="15" hidden="false" customHeight="true" outlineLevel="0" collapsed="false">
      <c r="A755" s="10" t="s">
        <v>276</v>
      </c>
      <c r="B755" s="11" t="n">
        <v>45502</v>
      </c>
      <c r="C755" s="10" t="s">
        <v>755</v>
      </c>
    </row>
    <row r="756" customFormat="false" ht="15" hidden="false" customHeight="true" outlineLevel="0" collapsed="false">
      <c r="A756" s="10" t="s">
        <v>276</v>
      </c>
      <c r="B756" s="11" t="n">
        <v>45503</v>
      </c>
      <c r="C756" s="10" t="s">
        <v>755</v>
      </c>
    </row>
    <row r="757" customFormat="false" ht="15" hidden="false" customHeight="true" outlineLevel="0" collapsed="false">
      <c r="A757" s="10" t="s">
        <v>276</v>
      </c>
      <c r="B757" s="11" t="n">
        <v>45504</v>
      </c>
      <c r="C757" s="10" t="s">
        <v>755</v>
      </c>
    </row>
    <row r="758" customFormat="false" ht="15" hidden="false" customHeight="true" outlineLevel="0" collapsed="false">
      <c r="A758" s="10" t="s">
        <v>280</v>
      </c>
      <c r="B758" s="11" t="n">
        <v>45488</v>
      </c>
      <c r="C758" s="10" t="s">
        <v>755</v>
      </c>
    </row>
    <row r="759" customFormat="false" ht="15" hidden="false" customHeight="true" outlineLevel="0" collapsed="false">
      <c r="A759" s="10" t="s">
        <v>280</v>
      </c>
      <c r="B759" s="11" t="n">
        <v>45489</v>
      </c>
      <c r="C759" s="10" t="s">
        <v>755</v>
      </c>
    </row>
    <row r="760" customFormat="false" ht="15" hidden="false" customHeight="true" outlineLevel="0" collapsed="false">
      <c r="A760" s="10" t="s">
        <v>280</v>
      </c>
      <c r="B760" s="11" t="n">
        <v>45490</v>
      </c>
      <c r="C760" s="10" t="s">
        <v>755</v>
      </c>
    </row>
    <row r="761" customFormat="false" ht="15" hidden="false" customHeight="true" outlineLevel="0" collapsed="false">
      <c r="A761" s="10" t="s">
        <v>280</v>
      </c>
      <c r="B761" s="11" t="n">
        <v>45491</v>
      </c>
      <c r="C761" s="10" t="s">
        <v>755</v>
      </c>
    </row>
    <row r="762" customFormat="false" ht="15" hidden="false" customHeight="true" outlineLevel="0" collapsed="false">
      <c r="A762" s="10" t="s">
        <v>280</v>
      </c>
      <c r="B762" s="11" t="n">
        <v>45492</v>
      </c>
      <c r="C762" s="10" t="s">
        <v>755</v>
      </c>
    </row>
    <row r="763" customFormat="false" ht="15" hidden="false" customHeight="true" outlineLevel="0" collapsed="false">
      <c r="A763" s="10" t="s">
        <v>280</v>
      </c>
      <c r="B763" s="11" t="n">
        <v>45495</v>
      </c>
      <c r="C763" s="10" t="s">
        <v>755</v>
      </c>
    </row>
    <row r="764" customFormat="false" ht="15" hidden="false" customHeight="true" outlineLevel="0" collapsed="false">
      <c r="A764" s="10" t="s">
        <v>280</v>
      </c>
      <c r="B764" s="11" t="n">
        <v>45496</v>
      </c>
      <c r="C764" s="10" t="s">
        <v>755</v>
      </c>
    </row>
    <row r="765" customFormat="false" ht="15" hidden="false" customHeight="true" outlineLevel="0" collapsed="false">
      <c r="A765" s="10" t="s">
        <v>280</v>
      </c>
      <c r="B765" s="11" t="n">
        <v>45497</v>
      </c>
      <c r="C765" s="10" t="s">
        <v>755</v>
      </c>
    </row>
    <row r="766" customFormat="false" ht="15" hidden="false" customHeight="true" outlineLevel="0" collapsed="false">
      <c r="A766" s="10" t="s">
        <v>280</v>
      </c>
      <c r="B766" s="11" t="n">
        <v>45498</v>
      </c>
      <c r="C766" s="10" t="s">
        <v>755</v>
      </c>
    </row>
    <row r="767" customFormat="false" ht="15" hidden="false" customHeight="true" outlineLevel="0" collapsed="false">
      <c r="A767" s="10" t="s">
        <v>280</v>
      </c>
      <c r="B767" s="11" t="n">
        <v>45499</v>
      </c>
      <c r="C767" s="10" t="s">
        <v>755</v>
      </c>
    </row>
    <row r="768" customFormat="false" ht="15" hidden="false" customHeight="true" outlineLevel="0" collapsed="false">
      <c r="A768" s="10" t="s">
        <v>283</v>
      </c>
      <c r="B768" s="11" t="n">
        <v>45488</v>
      </c>
      <c r="C768" s="10" t="s">
        <v>755</v>
      </c>
    </row>
    <row r="769" customFormat="false" ht="15" hidden="false" customHeight="true" outlineLevel="0" collapsed="false">
      <c r="A769" s="10" t="s">
        <v>283</v>
      </c>
      <c r="B769" s="11" t="n">
        <v>45489</v>
      </c>
      <c r="C769" s="10" t="s">
        <v>755</v>
      </c>
    </row>
    <row r="770" customFormat="false" ht="15" hidden="false" customHeight="true" outlineLevel="0" collapsed="false">
      <c r="A770" s="10" t="s">
        <v>283</v>
      </c>
      <c r="B770" s="11" t="n">
        <v>45491</v>
      </c>
      <c r="C770" s="10" t="s">
        <v>755</v>
      </c>
    </row>
    <row r="771" customFormat="false" ht="15" hidden="false" customHeight="true" outlineLevel="0" collapsed="false">
      <c r="A771" s="10" t="s">
        <v>283</v>
      </c>
      <c r="B771" s="11" t="n">
        <v>45492</v>
      </c>
      <c r="C771" s="10" t="s">
        <v>755</v>
      </c>
    </row>
    <row r="772" customFormat="false" ht="15" hidden="false" customHeight="true" outlineLevel="0" collapsed="false">
      <c r="A772" s="10" t="s">
        <v>283</v>
      </c>
      <c r="B772" s="11" t="n">
        <v>45495</v>
      </c>
      <c r="C772" s="10" t="s">
        <v>755</v>
      </c>
    </row>
    <row r="773" customFormat="false" ht="15" hidden="false" customHeight="true" outlineLevel="0" collapsed="false">
      <c r="A773" s="10" t="s">
        <v>283</v>
      </c>
      <c r="B773" s="11" t="n">
        <v>45496</v>
      </c>
      <c r="C773" s="10" t="s">
        <v>755</v>
      </c>
    </row>
    <row r="774" customFormat="false" ht="15" hidden="false" customHeight="true" outlineLevel="0" collapsed="false">
      <c r="A774" s="10" t="s">
        <v>283</v>
      </c>
      <c r="B774" s="11" t="n">
        <v>45498</v>
      </c>
      <c r="C774" s="10" t="s">
        <v>755</v>
      </c>
    </row>
    <row r="775" customFormat="false" ht="15" hidden="false" customHeight="true" outlineLevel="0" collapsed="false">
      <c r="A775" s="10" t="s">
        <v>283</v>
      </c>
      <c r="B775" s="11" t="n">
        <v>45499</v>
      </c>
      <c r="C775" s="10" t="s">
        <v>755</v>
      </c>
    </row>
    <row r="776" customFormat="false" ht="15" hidden="false" customHeight="true" outlineLevel="0" collapsed="false">
      <c r="A776" s="10" t="s">
        <v>287</v>
      </c>
      <c r="B776" s="11" t="n">
        <v>45488</v>
      </c>
      <c r="C776" s="10" t="s">
        <v>755</v>
      </c>
    </row>
    <row r="777" customFormat="false" ht="15" hidden="false" customHeight="true" outlineLevel="0" collapsed="false">
      <c r="A777" s="10" t="s">
        <v>287</v>
      </c>
      <c r="B777" s="11" t="n">
        <v>45489</v>
      </c>
      <c r="C777" s="10" t="s">
        <v>755</v>
      </c>
    </row>
    <row r="778" customFormat="false" ht="15" hidden="false" customHeight="true" outlineLevel="0" collapsed="false">
      <c r="A778" s="10" t="s">
        <v>287</v>
      </c>
      <c r="B778" s="11" t="n">
        <v>45491</v>
      </c>
      <c r="C778" s="10" t="s">
        <v>755</v>
      </c>
    </row>
    <row r="779" customFormat="false" ht="15" hidden="false" customHeight="true" outlineLevel="0" collapsed="false">
      <c r="A779" s="10" t="s">
        <v>287</v>
      </c>
      <c r="B779" s="11" t="n">
        <v>45492</v>
      </c>
      <c r="C779" s="10" t="s">
        <v>755</v>
      </c>
    </row>
    <row r="780" customFormat="false" ht="15" hidden="false" customHeight="true" outlineLevel="0" collapsed="false">
      <c r="A780" s="10" t="s">
        <v>287</v>
      </c>
      <c r="B780" s="11" t="n">
        <v>45495</v>
      </c>
      <c r="C780" s="10" t="s">
        <v>755</v>
      </c>
    </row>
    <row r="781" customFormat="false" ht="15" hidden="false" customHeight="true" outlineLevel="0" collapsed="false">
      <c r="A781" s="10" t="s">
        <v>287</v>
      </c>
      <c r="B781" s="11" t="n">
        <v>45496</v>
      </c>
      <c r="C781" s="10" t="s">
        <v>755</v>
      </c>
    </row>
    <row r="782" customFormat="false" ht="15" hidden="false" customHeight="true" outlineLevel="0" collapsed="false">
      <c r="A782" s="10" t="s">
        <v>287</v>
      </c>
      <c r="B782" s="11" t="n">
        <v>45498</v>
      </c>
      <c r="C782" s="10" t="s">
        <v>755</v>
      </c>
    </row>
    <row r="783" customFormat="false" ht="15" hidden="false" customHeight="true" outlineLevel="0" collapsed="false">
      <c r="A783" s="10" t="s">
        <v>287</v>
      </c>
      <c r="B783" s="11" t="n">
        <v>45499</v>
      </c>
      <c r="C783" s="10" t="s">
        <v>755</v>
      </c>
    </row>
    <row r="784" customFormat="false" ht="15" hidden="false" customHeight="true" outlineLevel="0" collapsed="false">
      <c r="A784" s="10" t="s">
        <v>289</v>
      </c>
      <c r="B784" s="11" t="n">
        <v>45488</v>
      </c>
      <c r="C784" s="10" t="s">
        <v>755</v>
      </c>
    </row>
    <row r="785" customFormat="false" ht="15" hidden="false" customHeight="true" outlineLevel="0" collapsed="false">
      <c r="A785" s="10" t="s">
        <v>289</v>
      </c>
      <c r="B785" s="11" t="n">
        <v>45489</v>
      </c>
      <c r="C785" s="10" t="s">
        <v>755</v>
      </c>
    </row>
    <row r="786" customFormat="false" ht="15" hidden="false" customHeight="true" outlineLevel="0" collapsed="false">
      <c r="A786" s="10" t="s">
        <v>289</v>
      </c>
      <c r="B786" s="11" t="n">
        <v>45490</v>
      </c>
      <c r="C786" s="10" t="s">
        <v>755</v>
      </c>
    </row>
    <row r="787" customFormat="false" ht="15" hidden="false" customHeight="true" outlineLevel="0" collapsed="false">
      <c r="A787" s="10" t="s">
        <v>289</v>
      </c>
      <c r="B787" s="11" t="n">
        <v>45491</v>
      </c>
      <c r="C787" s="10" t="s">
        <v>755</v>
      </c>
    </row>
    <row r="788" customFormat="false" ht="15" hidden="false" customHeight="true" outlineLevel="0" collapsed="false">
      <c r="A788" s="10" t="s">
        <v>289</v>
      </c>
      <c r="B788" s="11" t="n">
        <v>45492</v>
      </c>
      <c r="C788" s="10" t="s">
        <v>755</v>
      </c>
    </row>
    <row r="789" customFormat="false" ht="15" hidden="false" customHeight="true" outlineLevel="0" collapsed="false">
      <c r="A789" s="10" t="s">
        <v>289</v>
      </c>
      <c r="B789" s="11" t="n">
        <v>45495</v>
      </c>
      <c r="C789" s="10" t="s">
        <v>755</v>
      </c>
    </row>
    <row r="790" customFormat="false" ht="15" hidden="false" customHeight="true" outlineLevel="0" collapsed="false">
      <c r="A790" s="10" t="s">
        <v>289</v>
      </c>
      <c r="B790" s="11" t="n">
        <v>45496</v>
      </c>
      <c r="C790" s="10" t="s">
        <v>755</v>
      </c>
    </row>
    <row r="791" customFormat="false" ht="15" hidden="false" customHeight="true" outlineLevel="0" collapsed="false">
      <c r="A791" s="10" t="s">
        <v>289</v>
      </c>
      <c r="B791" s="11" t="n">
        <v>45497</v>
      </c>
      <c r="C791" s="10" t="s">
        <v>755</v>
      </c>
    </row>
    <row r="792" customFormat="false" ht="15" hidden="false" customHeight="true" outlineLevel="0" collapsed="false">
      <c r="A792" s="10" t="s">
        <v>289</v>
      </c>
      <c r="B792" s="11" t="n">
        <v>45498</v>
      </c>
      <c r="C792" s="10" t="s">
        <v>755</v>
      </c>
    </row>
    <row r="793" customFormat="false" ht="15" hidden="false" customHeight="true" outlineLevel="0" collapsed="false">
      <c r="A793" s="10" t="s">
        <v>289</v>
      </c>
      <c r="B793" s="11" t="n">
        <v>45499</v>
      </c>
      <c r="C793" s="10" t="s">
        <v>755</v>
      </c>
    </row>
    <row r="794" customFormat="false" ht="15" hidden="false" customHeight="true" outlineLevel="0" collapsed="false">
      <c r="A794" s="10" t="s">
        <v>291</v>
      </c>
      <c r="B794" s="11" t="n">
        <v>45488</v>
      </c>
      <c r="C794" s="10" t="s">
        <v>755</v>
      </c>
    </row>
    <row r="795" customFormat="false" ht="15" hidden="false" customHeight="true" outlineLevel="0" collapsed="false">
      <c r="A795" s="10" t="s">
        <v>291</v>
      </c>
      <c r="B795" s="11" t="n">
        <v>45489</v>
      </c>
      <c r="C795" s="10" t="s">
        <v>755</v>
      </c>
    </row>
    <row r="796" customFormat="false" ht="15" hidden="false" customHeight="true" outlineLevel="0" collapsed="false">
      <c r="A796" s="10" t="s">
        <v>291</v>
      </c>
      <c r="B796" s="11" t="n">
        <v>45490</v>
      </c>
      <c r="C796" s="10" t="s">
        <v>755</v>
      </c>
    </row>
    <row r="797" customFormat="false" ht="15" hidden="false" customHeight="true" outlineLevel="0" collapsed="false">
      <c r="A797" s="10" t="s">
        <v>291</v>
      </c>
      <c r="B797" s="11" t="n">
        <v>45491</v>
      </c>
      <c r="C797" s="10" t="s">
        <v>755</v>
      </c>
    </row>
    <row r="798" customFormat="false" ht="15" hidden="false" customHeight="true" outlineLevel="0" collapsed="false">
      <c r="A798" s="10" t="s">
        <v>291</v>
      </c>
      <c r="B798" s="11" t="n">
        <v>45492</v>
      </c>
      <c r="C798" s="10" t="s">
        <v>755</v>
      </c>
    </row>
    <row r="799" customFormat="false" ht="15" hidden="false" customHeight="true" outlineLevel="0" collapsed="false">
      <c r="A799" s="10" t="s">
        <v>291</v>
      </c>
      <c r="B799" s="11" t="n">
        <v>45495</v>
      </c>
      <c r="C799" s="10" t="s">
        <v>755</v>
      </c>
    </row>
    <row r="800" customFormat="false" ht="15" hidden="false" customHeight="true" outlineLevel="0" collapsed="false">
      <c r="A800" s="10" t="s">
        <v>291</v>
      </c>
      <c r="B800" s="11" t="n">
        <v>45496</v>
      </c>
      <c r="C800" s="10" t="s">
        <v>755</v>
      </c>
    </row>
    <row r="801" customFormat="false" ht="15" hidden="false" customHeight="true" outlineLevel="0" collapsed="false">
      <c r="A801" s="10" t="s">
        <v>291</v>
      </c>
      <c r="B801" s="11" t="n">
        <v>45497</v>
      </c>
      <c r="C801" s="10" t="s">
        <v>755</v>
      </c>
    </row>
    <row r="802" customFormat="false" ht="15" hidden="false" customHeight="true" outlineLevel="0" collapsed="false">
      <c r="A802" s="10" t="s">
        <v>291</v>
      </c>
      <c r="B802" s="11" t="n">
        <v>45498</v>
      </c>
      <c r="C802" s="10" t="s">
        <v>755</v>
      </c>
    </row>
    <row r="803" customFormat="false" ht="15" hidden="false" customHeight="true" outlineLevel="0" collapsed="false">
      <c r="A803" s="10" t="s">
        <v>291</v>
      </c>
      <c r="B803" s="11" t="n">
        <v>45499</v>
      </c>
      <c r="C803" s="10" t="s">
        <v>755</v>
      </c>
    </row>
    <row r="804" customFormat="false" ht="15" hidden="false" customHeight="true" outlineLevel="0" collapsed="false">
      <c r="A804" s="10" t="s">
        <v>294</v>
      </c>
      <c r="B804" s="11" t="n">
        <v>45488</v>
      </c>
      <c r="C804" s="10" t="s">
        <v>755</v>
      </c>
    </row>
    <row r="805" customFormat="false" ht="15" hidden="false" customHeight="true" outlineLevel="0" collapsed="false">
      <c r="A805" s="10" t="s">
        <v>294</v>
      </c>
      <c r="B805" s="11" t="n">
        <v>45489</v>
      </c>
      <c r="C805" s="10" t="s">
        <v>755</v>
      </c>
    </row>
    <row r="806" customFormat="false" ht="15" hidden="false" customHeight="true" outlineLevel="0" collapsed="false">
      <c r="A806" s="10" t="s">
        <v>294</v>
      </c>
      <c r="B806" s="11" t="n">
        <v>45490</v>
      </c>
      <c r="C806" s="10" t="s">
        <v>755</v>
      </c>
    </row>
    <row r="807" customFormat="false" ht="15" hidden="false" customHeight="true" outlineLevel="0" collapsed="false">
      <c r="A807" s="10" t="s">
        <v>294</v>
      </c>
      <c r="B807" s="11" t="n">
        <v>45491</v>
      </c>
      <c r="C807" s="10" t="s">
        <v>755</v>
      </c>
    </row>
    <row r="808" customFormat="false" ht="15" hidden="false" customHeight="true" outlineLevel="0" collapsed="false">
      <c r="A808" s="10" t="s">
        <v>294</v>
      </c>
      <c r="B808" s="11" t="n">
        <v>45492</v>
      </c>
      <c r="C808" s="10" t="s">
        <v>755</v>
      </c>
    </row>
    <row r="809" customFormat="false" ht="15" hidden="false" customHeight="true" outlineLevel="0" collapsed="false">
      <c r="A809" s="10" t="s">
        <v>294</v>
      </c>
      <c r="B809" s="11" t="n">
        <v>45495</v>
      </c>
      <c r="C809" s="10" t="s">
        <v>755</v>
      </c>
    </row>
    <row r="810" customFormat="false" ht="15" hidden="false" customHeight="true" outlineLevel="0" collapsed="false">
      <c r="A810" s="10" t="s">
        <v>294</v>
      </c>
      <c r="B810" s="11" t="n">
        <v>45496</v>
      </c>
      <c r="C810" s="10" t="s">
        <v>755</v>
      </c>
    </row>
    <row r="811" customFormat="false" ht="15" hidden="false" customHeight="true" outlineLevel="0" collapsed="false">
      <c r="A811" s="10" t="s">
        <v>294</v>
      </c>
      <c r="B811" s="11" t="n">
        <v>45497</v>
      </c>
      <c r="C811" s="10" t="s">
        <v>755</v>
      </c>
    </row>
    <row r="812" customFormat="false" ht="15" hidden="false" customHeight="true" outlineLevel="0" collapsed="false">
      <c r="A812" s="10" t="s">
        <v>294</v>
      </c>
      <c r="B812" s="11" t="n">
        <v>45498</v>
      </c>
      <c r="C812" s="10" t="s">
        <v>755</v>
      </c>
    </row>
    <row r="813" customFormat="false" ht="15" hidden="false" customHeight="true" outlineLevel="0" collapsed="false">
      <c r="A813" s="10" t="s">
        <v>294</v>
      </c>
      <c r="B813" s="11" t="n">
        <v>45499</v>
      </c>
      <c r="C813" s="10" t="s">
        <v>755</v>
      </c>
    </row>
    <row r="814" customFormat="false" ht="15" hidden="false" customHeight="true" outlineLevel="0" collapsed="false">
      <c r="A814" s="10" t="s">
        <v>294</v>
      </c>
      <c r="B814" s="11" t="n">
        <v>45502</v>
      </c>
      <c r="C814" s="10" t="s">
        <v>755</v>
      </c>
    </row>
    <row r="815" customFormat="false" ht="15" hidden="false" customHeight="true" outlineLevel="0" collapsed="false">
      <c r="A815" s="10" t="s">
        <v>294</v>
      </c>
      <c r="B815" s="11" t="n">
        <v>45503</v>
      </c>
      <c r="C815" s="10" t="s">
        <v>755</v>
      </c>
    </row>
    <row r="816" customFormat="false" ht="15" hidden="false" customHeight="true" outlineLevel="0" collapsed="false">
      <c r="A816" s="10" t="s">
        <v>294</v>
      </c>
      <c r="B816" s="11" t="n">
        <v>45504</v>
      </c>
      <c r="C816" s="10" t="s">
        <v>755</v>
      </c>
    </row>
    <row r="817" customFormat="false" ht="15" hidden="false" customHeight="true" outlineLevel="0" collapsed="false">
      <c r="A817" s="10" t="s">
        <v>294</v>
      </c>
      <c r="B817" s="11" t="n">
        <v>45505</v>
      </c>
      <c r="C817" s="10" t="s">
        <v>755</v>
      </c>
    </row>
    <row r="818" customFormat="false" ht="15" hidden="false" customHeight="true" outlineLevel="0" collapsed="false">
      <c r="A818" s="10" t="s">
        <v>294</v>
      </c>
      <c r="B818" s="11" t="n">
        <v>45506</v>
      </c>
      <c r="C818" s="10" t="s">
        <v>755</v>
      </c>
    </row>
    <row r="819" customFormat="false" ht="15" hidden="false" customHeight="true" outlineLevel="0" collapsed="false">
      <c r="A819" s="10" t="s">
        <v>299</v>
      </c>
      <c r="B819" s="11" t="n">
        <v>45488</v>
      </c>
      <c r="C819" s="10" t="s">
        <v>755</v>
      </c>
    </row>
    <row r="820" customFormat="false" ht="15" hidden="false" customHeight="true" outlineLevel="0" collapsed="false">
      <c r="A820" s="10" t="s">
        <v>299</v>
      </c>
      <c r="B820" s="11" t="n">
        <v>45489</v>
      </c>
      <c r="C820" s="10" t="s">
        <v>755</v>
      </c>
    </row>
    <row r="821" customFormat="false" ht="15" hidden="false" customHeight="true" outlineLevel="0" collapsed="false">
      <c r="A821" s="10" t="s">
        <v>299</v>
      </c>
      <c r="B821" s="11" t="n">
        <v>45491</v>
      </c>
      <c r="C821" s="10" t="s">
        <v>755</v>
      </c>
    </row>
    <row r="822" customFormat="false" ht="15" hidden="false" customHeight="true" outlineLevel="0" collapsed="false">
      <c r="A822" s="10" t="s">
        <v>299</v>
      </c>
      <c r="B822" s="11" t="n">
        <v>45492</v>
      </c>
      <c r="C822" s="10" t="s">
        <v>755</v>
      </c>
    </row>
    <row r="823" customFormat="false" ht="15" hidden="false" customHeight="true" outlineLevel="0" collapsed="false">
      <c r="A823" s="10" t="s">
        <v>299</v>
      </c>
      <c r="B823" s="11" t="n">
        <v>45495</v>
      </c>
      <c r="C823" s="10" t="s">
        <v>755</v>
      </c>
    </row>
    <row r="824" customFormat="false" ht="15" hidden="false" customHeight="true" outlineLevel="0" collapsed="false">
      <c r="A824" s="10" t="s">
        <v>299</v>
      </c>
      <c r="B824" s="11" t="n">
        <v>45496</v>
      </c>
      <c r="C824" s="10" t="s">
        <v>755</v>
      </c>
    </row>
    <row r="825" customFormat="false" ht="15" hidden="false" customHeight="true" outlineLevel="0" collapsed="false">
      <c r="A825" s="10" t="s">
        <v>299</v>
      </c>
      <c r="B825" s="11" t="n">
        <v>45498</v>
      </c>
      <c r="C825" s="10" t="s">
        <v>755</v>
      </c>
    </row>
    <row r="826" customFormat="false" ht="15" hidden="false" customHeight="true" outlineLevel="0" collapsed="false">
      <c r="A826" s="10" t="s">
        <v>299</v>
      </c>
      <c r="B826" s="11" t="n">
        <v>45499</v>
      </c>
      <c r="C826" s="10" t="s">
        <v>755</v>
      </c>
    </row>
    <row r="827" customFormat="false" ht="15" hidden="false" customHeight="true" outlineLevel="0" collapsed="false">
      <c r="A827" s="10" t="s">
        <v>301</v>
      </c>
      <c r="B827" s="11" t="n">
        <v>45539</v>
      </c>
      <c r="C827" s="10" t="s">
        <v>755</v>
      </c>
    </row>
    <row r="828" customFormat="false" ht="15" hidden="false" customHeight="true" outlineLevel="0" collapsed="false">
      <c r="A828" s="10" t="s">
        <v>301</v>
      </c>
      <c r="B828" s="11" t="n">
        <v>45541</v>
      </c>
      <c r="C828" s="10" t="s">
        <v>755</v>
      </c>
    </row>
    <row r="829" customFormat="false" ht="15" hidden="false" customHeight="true" outlineLevel="0" collapsed="false">
      <c r="A829" s="10" t="s">
        <v>301</v>
      </c>
      <c r="B829" s="11" t="n">
        <v>45542</v>
      </c>
      <c r="C829" s="10" t="s">
        <v>755</v>
      </c>
    </row>
    <row r="830" customFormat="false" ht="15" hidden="false" customHeight="true" outlineLevel="0" collapsed="false">
      <c r="A830" s="10" t="s">
        <v>301</v>
      </c>
      <c r="B830" s="11" t="n">
        <v>45543</v>
      </c>
      <c r="C830" s="10" t="s">
        <v>755</v>
      </c>
    </row>
    <row r="831" customFormat="false" ht="15" hidden="false" customHeight="true" outlineLevel="0" collapsed="false">
      <c r="A831" s="10" t="s">
        <v>301</v>
      </c>
      <c r="B831" s="11" t="n">
        <v>45544</v>
      </c>
      <c r="C831" s="10" t="s">
        <v>755</v>
      </c>
    </row>
    <row r="832" customFormat="false" ht="15" hidden="false" customHeight="true" outlineLevel="0" collapsed="false">
      <c r="A832" s="10" t="s">
        <v>301</v>
      </c>
      <c r="B832" s="11" t="n">
        <v>45545</v>
      </c>
      <c r="C832" s="10" t="s">
        <v>755</v>
      </c>
    </row>
    <row r="833" customFormat="false" ht="15" hidden="false" customHeight="true" outlineLevel="0" collapsed="false">
      <c r="A833" s="10" t="s">
        <v>301</v>
      </c>
      <c r="B833" s="11" t="n">
        <v>45546</v>
      </c>
      <c r="C833" s="10" t="s">
        <v>755</v>
      </c>
    </row>
    <row r="834" customFormat="false" ht="15" hidden="false" customHeight="true" outlineLevel="0" collapsed="false">
      <c r="A834" s="10" t="s">
        <v>301</v>
      </c>
      <c r="B834" s="11" t="n">
        <v>45549</v>
      </c>
      <c r="C834" s="10" t="s">
        <v>755</v>
      </c>
    </row>
    <row r="835" customFormat="false" ht="15" hidden="false" customHeight="true" outlineLevel="0" collapsed="false">
      <c r="A835" s="10" t="s">
        <v>301</v>
      </c>
      <c r="B835" s="11" t="n">
        <v>45555</v>
      </c>
      <c r="C835" s="10" t="s">
        <v>755</v>
      </c>
    </row>
    <row r="836" customFormat="false" ht="15" hidden="false" customHeight="true" outlineLevel="0" collapsed="false">
      <c r="A836" s="10" t="s">
        <v>301</v>
      </c>
      <c r="B836" s="11" t="n">
        <v>45556</v>
      </c>
      <c r="C836" s="10" t="s">
        <v>755</v>
      </c>
    </row>
    <row r="837" customFormat="false" ht="15" hidden="false" customHeight="true" outlineLevel="0" collapsed="false">
      <c r="A837" s="10" t="s">
        <v>301</v>
      </c>
      <c r="B837" s="11" t="n">
        <v>45557</v>
      </c>
      <c r="C837" s="10" t="s">
        <v>755</v>
      </c>
    </row>
    <row r="838" customFormat="false" ht="15" hidden="false" customHeight="true" outlineLevel="0" collapsed="false">
      <c r="A838" s="10" t="s">
        <v>301</v>
      </c>
      <c r="B838" s="11" t="n">
        <v>45561</v>
      </c>
      <c r="C838" s="10" t="s">
        <v>755</v>
      </c>
    </row>
    <row r="839" customFormat="false" ht="15" hidden="false" customHeight="true" outlineLevel="0" collapsed="false">
      <c r="A839" s="10" t="s">
        <v>301</v>
      </c>
      <c r="B839" s="11" t="n">
        <v>45562</v>
      </c>
      <c r="C839" s="10" t="s">
        <v>755</v>
      </c>
    </row>
    <row r="840" customFormat="false" ht="15" hidden="false" customHeight="true" outlineLevel="0" collapsed="false">
      <c r="A840" s="10" t="s">
        <v>301</v>
      </c>
      <c r="B840" s="11" t="n">
        <v>45563</v>
      </c>
      <c r="C840" s="10" t="s">
        <v>755</v>
      </c>
    </row>
    <row r="841" customFormat="false" ht="15" hidden="false" customHeight="true" outlineLevel="0" collapsed="false">
      <c r="A841" s="10" t="s">
        <v>301</v>
      </c>
      <c r="B841" s="11" t="n">
        <v>45564</v>
      </c>
      <c r="C841" s="10" t="s">
        <v>755</v>
      </c>
    </row>
    <row r="842" customFormat="false" ht="15" hidden="false" customHeight="true" outlineLevel="0" collapsed="false">
      <c r="A842" s="10" t="s">
        <v>301</v>
      </c>
      <c r="B842" s="11" t="n">
        <v>45569</v>
      </c>
      <c r="C842" s="10" t="s">
        <v>755</v>
      </c>
    </row>
    <row r="843" customFormat="false" ht="15" hidden="false" customHeight="true" outlineLevel="0" collapsed="false">
      <c r="A843" s="10" t="s">
        <v>301</v>
      </c>
      <c r="B843" s="11" t="n">
        <v>45570</v>
      </c>
      <c r="C843" s="10" t="s">
        <v>755</v>
      </c>
    </row>
    <row r="844" customFormat="false" ht="15" hidden="false" customHeight="true" outlineLevel="0" collapsed="false">
      <c r="A844" s="10" t="s">
        <v>301</v>
      </c>
      <c r="B844" s="11" t="n">
        <v>45571</v>
      </c>
      <c r="C844" s="10" t="s">
        <v>755</v>
      </c>
    </row>
    <row r="845" customFormat="false" ht="15" hidden="false" customHeight="true" outlineLevel="0" collapsed="false">
      <c r="A845" s="10" t="s">
        <v>301</v>
      </c>
      <c r="B845" s="11" t="n">
        <v>45572</v>
      </c>
      <c r="C845" s="10" t="s">
        <v>755</v>
      </c>
    </row>
    <row r="846" customFormat="false" ht="15" hidden="false" customHeight="true" outlineLevel="0" collapsed="false">
      <c r="A846" s="10" t="s">
        <v>301</v>
      </c>
      <c r="B846" s="11" t="n">
        <v>45575</v>
      </c>
      <c r="C846" s="10" t="s">
        <v>755</v>
      </c>
    </row>
    <row r="847" customFormat="false" ht="15" hidden="false" customHeight="true" outlineLevel="0" collapsed="false">
      <c r="A847" s="10" t="s">
        <v>301</v>
      </c>
      <c r="B847" s="11" t="n">
        <v>45576</v>
      </c>
      <c r="C847" s="10" t="s">
        <v>755</v>
      </c>
    </row>
    <row r="848" customFormat="false" ht="15" hidden="false" customHeight="true" outlineLevel="0" collapsed="false">
      <c r="A848" s="10" t="s">
        <v>301</v>
      </c>
      <c r="B848" s="11" t="n">
        <v>45577</v>
      </c>
      <c r="C848" s="10" t="s">
        <v>755</v>
      </c>
    </row>
    <row r="849" customFormat="false" ht="15" hidden="false" customHeight="true" outlineLevel="0" collapsed="false">
      <c r="A849" s="10" t="s">
        <v>301</v>
      </c>
      <c r="B849" s="11" t="n">
        <v>45578</v>
      </c>
      <c r="C849" s="10" t="s">
        <v>755</v>
      </c>
    </row>
    <row r="850" customFormat="false" ht="15" hidden="false" customHeight="true" outlineLevel="0" collapsed="false">
      <c r="A850" s="10" t="s">
        <v>301</v>
      </c>
      <c r="B850" s="11" t="n">
        <v>45582</v>
      </c>
      <c r="C850" s="10" t="s">
        <v>755</v>
      </c>
    </row>
    <row r="851" customFormat="false" ht="15" hidden="false" customHeight="true" outlineLevel="0" collapsed="false">
      <c r="A851" s="10" t="s">
        <v>301</v>
      </c>
      <c r="B851" s="11" t="n">
        <v>45583</v>
      </c>
      <c r="C851" s="10" t="s">
        <v>755</v>
      </c>
    </row>
    <row r="852" customFormat="false" ht="15" hidden="false" customHeight="true" outlineLevel="0" collapsed="false">
      <c r="A852" s="10" t="s">
        <v>301</v>
      </c>
      <c r="B852" s="11" t="n">
        <v>45584</v>
      </c>
      <c r="C852" s="10" t="s">
        <v>755</v>
      </c>
    </row>
    <row r="853" customFormat="false" ht="15" hidden="false" customHeight="true" outlineLevel="0" collapsed="false">
      <c r="A853" s="10" t="s">
        <v>301</v>
      </c>
      <c r="B853" s="11" t="n">
        <v>45589</v>
      </c>
      <c r="C853" s="10" t="s">
        <v>755</v>
      </c>
    </row>
    <row r="854" customFormat="false" ht="15" hidden="false" customHeight="true" outlineLevel="0" collapsed="false">
      <c r="A854" s="10" t="s">
        <v>301</v>
      </c>
      <c r="B854" s="11" t="n">
        <v>45590</v>
      </c>
      <c r="C854" s="10" t="s">
        <v>755</v>
      </c>
    </row>
    <row r="855" customFormat="false" ht="15" hidden="false" customHeight="true" outlineLevel="0" collapsed="false">
      <c r="A855" s="10" t="s">
        <v>301</v>
      </c>
      <c r="B855" s="11" t="n">
        <v>45595</v>
      </c>
      <c r="C855" s="10" t="s">
        <v>755</v>
      </c>
    </row>
    <row r="856" customFormat="false" ht="15" hidden="false" customHeight="true" outlineLevel="0" collapsed="false">
      <c r="A856" s="10" t="s">
        <v>307</v>
      </c>
      <c r="B856" s="11" t="n">
        <v>45540</v>
      </c>
      <c r="C856" s="10" t="s">
        <v>755</v>
      </c>
    </row>
    <row r="857" customFormat="false" ht="15" hidden="false" customHeight="true" outlineLevel="0" collapsed="false">
      <c r="A857" s="10" t="s">
        <v>307</v>
      </c>
      <c r="B857" s="11" t="n">
        <v>45541</v>
      </c>
      <c r="C857" s="10" t="s">
        <v>755</v>
      </c>
    </row>
    <row r="858" customFormat="false" ht="15" hidden="false" customHeight="true" outlineLevel="0" collapsed="false">
      <c r="A858" s="10" t="s">
        <v>307</v>
      </c>
      <c r="B858" s="11" t="n">
        <v>45542</v>
      </c>
      <c r="C858" s="10" t="s">
        <v>755</v>
      </c>
    </row>
    <row r="859" customFormat="false" ht="15" hidden="false" customHeight="true" outlineLevel="0" collapsed="false">
      <c r="A859" s="10" t="s">
        <v>307</v>
      </c>
      <c r="B859" s="11" t="n">
        <v>45545</v>
      </c>
      <c r="C859" s="10" t="s">
        <v>755</v>
      </c>
    </row>
    <row r="860" customFormat="false" ht="15" hidden="false" customHeight="true" outlineLevel="0" collapsed="false">
      <c r="A860" s="10" t="s">
        <v>307</v>
      </c>
      <c r="B860" s="11" t="n">
        <v>45547</v>
      </c>
      <c r="C860" s="10" t="s">
        <v>755</v>
      </c>
    </row>
    <row r="861" customFormat="false" ht="15" hidden="false" customHeight="true" outlineLevel="0" collapsed="false">
      <c r="A861" s="10" t="s">
        <v>307</v>
      </c>
      <c r="B861" s="11" t="n">
        <v>45549</v>
      </c>
      <c r="C861" s="10" t="s">
        <v>755</v>
      </c>
    </row>
    <row r="862" customFormat="false" ht="15" hidden="false" customHeight="true" outlineLevel="0" collapsed="false">
      <c r="A862" s="10" t="s">
        <v>307</v>
      </c>
      <c r="B862" s="11" t="n">
        <v>45552</v>
      </c>
      <c r="C862" s="10" t="s">
        <v>755</v>
      </c>
    </row>
    <row r="863" customFormat="false" ht="15" hidden="false" customHeight="true" outlineLevel="0" collapsed="false">
      <c r="A863" s="10" t="s">
        <v>307</v>
      </c>
      <c r="B863" s="11" t="n">
        <v>45554</v>
      </c>
      <c r="C863" s="10" t="s">
        <v>755</v>
      </c>
    </row>
    <row r="864" customFormat="false" ht="15" hidden="false" customHeight="true" outlineLevel="0" collapsed="false">
      <c r="A864" s="10" t="s">
        <v>307</v>
      </c>
      <c r="B864" s="11" t="n">
        <v>45555</v>
      </c>
      <c r="C864" s="10" t="s">
        <v>755</v>
      </c>
    </row>
    <row r="865" customFormat="false" ht="15" hidden="false" customHeight="true" outlineLevel="0" collapsed="false">
      <c r="A865" s="10" t="s">
        <v>307</v>
      </c>
      <c r="B865" s="11" t="n">
        <v>45556</v>
      </c>
      <c r="C865" s="10" t="s">
        <v>755</v>
      </c>
    </row>
    <row r="866" customFormat="false" ht="15" hidden="false" customHeight="true" outlineLevel="0" collapsed="false">
      <c r="A866" s="10" t="s">
        <v>307</v>
      </c>
      <c r="B866" s="11" t="n">
        <v>45557</v>
      </c>
      <c r="C866" s="10" t="s">
        <v>755</v>
      </c>
    </row>
    <row r="867" customFormat="false" ht="15" hidden="false" customHeight="true" outlineLevel="0" collapsed="false">
      <c r="A867" s="10" t="s">
        <v>307</v>
      </c>
      <c r="B867" s="11" t="n">
        <v>45561</v>
      </c>
      <c r="C867" s="10" t="s">
        <v>755</v>
      </c>
    </row>
    <row r="868" customFormat="false" ht="15" hidden="false" customHeight="true" outlineLevel="0" collapsed="false">
      <c r="A868" s="10" t="s">
        <v>307</v>
      </c>
      <c r="B868" s="11" t="n">
        <v>45562</v>
      </c>
      <c r="C868" s="10" t="s">
        <v>755</v>
      </c>
    </row>
    <row r="869" customFormat="false" ht="15" hidden="false" customHeight="true" outlineLevel="0" collapsed="false">
      <c r="A869" s="10" t="s">
        <v>307</v>
      </c>
      <c r="B869" s="11" t="n">
        <v>45563</v>
      </c>
      <c r="C869" s="10" t="s">
        <v>755</v>
      </c>
    </row>
    <row r="870" customFormat="false" ht="15" hidden="false" customHeight="true" outlineLevel="0" collapsed="false">
      <c r="A870" s="10" t="s">
        <v>307</v>
      </c>
      <c r="B870" s="11" t="n">
        <v>45569</v>
      </c>
      <c r="C870" s="10" t="s">
        <v>755</v>
      </c>
    </row>
    <row r="871" customFormat="false" ht="15" hidden="false" customHeight="true" outlineLevel="0" collapsed="false">
      <c r="A871" s="10" t="s">
        <v>307</v>
      </c>
      <c r="B871" s="11" t="n">
        <v>45570</v>
      </c>
      <c r="C871" s="10" t="s">
        <v>755</v>
      </c>
    </row>
    <row r="872" customFormat="false" ht="15" hidden="false" customHeight="true" outlineLevel="0" collapsed="false">
      <c r="A872" s="10" t="s">
        <v>307</v>
      </c>
      <c r="B872" s="11" t="n">
        <v>45575</v>
      </c>
      <c r="C872" s="10" t="s">
        <v>755</v>
      </c>
    </row>
    <row r="873" customFormat="false" ht="15" hidden="false" customHeight="true" outlineLevel="0" collapsed="false">
      <c r="A873" s="10" t="s">
        <v>307</v>
      </c>
      <c r="B873" s="11" t="n">
        <v>45576</v>
      </c>
      <c r="C873" s="10" t="s">
        <v>755</v>
      </c>
    </row>
    <row r="874" customFormat="false" ht="15" hidden="false" customHeight="true" outlineLevel="0" collapsed="false">
      <c r="A874" s="10" t="s">
        <v>307</v>
      </c>
      <c r="B874" s="11" t="n">
        <v>45583</v>
      </c>
      <c r="C874" s="10" t="s">
        <v>755</v>
      </c>
    </row>
    <row r="875" customFormat="false" ht="15" hidden="false" customHeight="true" outlineLevel="0" collapsed="false">
      <c r="A875" s="10" t="s">
        <v>307</v>
      </c>
      <c r="B875" s="11" t="n">
        <v>45590</v>
      </c>
      <c r="C875" s="10" t="s">
        <v>755</v>
      </c>
    </row>
    <row r="876" customFormat="false" ht="15" hidden="false" customHeight="true" outlineLevel="0" collapsed="false">
      <c r="A876" s="10" t="s">
        <v>307</v>
      </c>
      <c r="B876" s="11" t="n">
        <v>45591</v>
      </c>
      <c r="C876" s="10" t="s">
        <v>755</v>
      </c>
    </row>
    <row r="877" customFormat="false" ht="15" hidden="false" customHeight="true" outlineLevel="0" collapsed="false">
      <c r="A877" s="10" t="s">
        <v>311</v>
      </c>
      <c r="B877" s="11" t="n">
        <v>45536</v>
      </c>
      <c r="C877" s="10" t="s">
        <v>755</v>
      </c>
    </row>
    <row r="878" customFormat="false" ht="15" hidden="false" customHeight="true" outlineLevel="0" collapsed="false">
      <c r="A878" s="10" t="s">
        <v>311</v>
      </c>
      <c r="B878" s="11" t="n">
        <v>45538</v>
      </c>
      <c r="C878" s="10" t="s">
        <v>755</v>
      </c>
    </row>
    <row r="879" customFormat="false" ht="15" hidden="false" customHeight="true" outlineLevel="0" collapsed="false">
      <c r="A879" s="10" t="s">
        <v>311</v>
      </c>
      <c r="B879" s="11" t="n">
        <v>45541</v>
      </c>
      <c r="C879" s="10" t="s">
        <v>755</v>
      </c>
    </row>
    <row r="880" customFormat="false" ht="15" hidden="false" customHeight="true" outlineLevel="0" collapsed="false">
      <c r="A880" s="10" t="s">
        <v>311</v>
      </c>
      <c r="B880" s="11" t="n">
        <v>45542</v>
      </c>
      <c r="C880" s="10" t="s">
        <v>755</v>
      </c>
    </row>
    <row r="881" customFormat="false" ht="15" hidden="false" customHeight="true" outlineLevel="0" collapsed="false">
      <c r="A881" s="10" t="s">
        <v>311</v>
      </c>
      <c r="B881" s="11" t="n">
        <v>45544</v>
      </c>
      <c r="C881" s="10" t="s">
        <v>755</v>
      </c>
    </row>
    <row r="882" customFormat="false" ht="15" hidden="false" customHeight="true" outlineLevel="0" collapsed="false">
      <c r="A882" s="10" t="s">
        <v>311</v>
      </c>
      <c r="B882" s="11" t="n">
        <v>45548</v>
      </c>
      <c r="C882" s="10" t="s">
        <v>755</v>
      </c>
    </row>
    <row r="883" customFormat="false" ht="15" hidden="false" customHeight="true" outlineLevel="0" collapsed="false">
      <c r="A883" s="10" t="s">
        <v>311</v>
      </c>
      <c r="B883" s="11" t="n">
        <v>45549</v>
      </c>
      <c r="C883" s="10" t="s">
        <v>755</v>
      </c>
    </row>
    <row r="884" customFormat="false" ht="15" hidden="false" customHeight="true" outlineLevel="0" collapsed="false">
      <c r="A884" s="10" t="s">
        <v>311</v>
      </c>
      <c r="B884" s="11" t="n">
        <v>45550</v>
      </c>
      <c r="C884" s="10" t="s">
        <v>755</v>
      </c>
    </row>
    <row r="885" customFormat="false" ht="15" hidden="false" customHeight="true" outlineLevel="0" collapsed="false">
      <c r="A885" s="10" t="s">
        <v>311</v>
      </c>
      <c r="B885" s="11" t="n">
        <v>45555</v>
      </c>
      <c r="C885" s="10" t="s">
        <v>755</v>
      </c>
    </row>
    <row r="886" customFormat="false" ht="15" hidden="false" customHeight="true" outlineLevel="0" collapsed="false">
      <c r="A886" s="10" t="s">
        <v>311</v>
      </c>
      <c r="B886" s="11" t="n">
        <v>45556</v>
      </c>
      <c r="C886" s="10" t="s">
        <v>755</v>
      </c>
    </row>
    <row r="887" customFormat="false" ht="15" hidden="false" customHeight="true" outlineLevel="0" collapsed="false">
      <c r="A887" s="10" t="s">
        <v>311</v>
      </c>
      <c r="B887" s="11" t="n">
        <v>45559</v>
      </c>
      <c r="C887" s="10" t="s">
        <v>755</v>
      </c>
    </row>
    <row r="888" customFormat="false" ht="15" hidden="false" customHeight="true" outlineLevel="0" collapsed="false">
      <c r="A888" s="10" t="s">
        <v>311</v>
      </c>
      <c r="B888" s="11" t="n">
        <v>45562</v>
      </c>
      <c r="C888" s="10" t="s">
        <v>755</v>
      </c>
    </row>
    <row r="889" customFormat="false" ht="15" hidden="false" customHeight="true" outlineLevel="0" collapsed="false">
      <c r="A889" s="10" t="s">
        <v>311</v>
      </c>
      <c r="B889" s="11" t="n">
        <v>45563</v>
      </c>
      <c r="C889" s="10" t="s">
        <v>755</v>
      </c>
    </row>
    <row r="890" customFormat="false" ht="15" hidden="false" customHeight="true" outlineLevel="0" collapsed="false">
      <c r="A890" s="10" t="s">
        <v>311</v>
      </c>
      <c r="B890" s="11" t="n">
        <v>45564</v>
      </c>
      <c r="C890" s="10" t="s">
        <v>755</v>
      </c>
    </row>
    <row r="891" customFormat="false" ht="15" hidden="false" customHeight="true" outlineLevel="0" collapsed="false">
      <c r="A891" s="10" t="s">
        <v>311</v>
      </c>
      <c r="B891" s="11" t="n">
        <v>45565</v>
      </c>
      <c r="C891" s="10" t="s">
        <v>755</v>
      </c>
    </row>
    <row r="892" customFormat="false" ht="15" hidden="false" customHeight="true" outlineLevel="0" collapsed="false">
      <c r="A892" s="10" t="s">
        <v>311</v>
      </c>
      <c r="B892" s="11" t="n">
        <v>45570</v>
      </c>
      <c r="C892" s="10" t="s">
        <v>755</v>
      </c>
    </row>
    <row r="893" customFormat="false" ht="15" hidden="false" customHeight="true" outlineLevel="0" collapsed="false">
      <c r="A893" s="10" t="s">
        <v>311</v>
      </c>
      <c r="B893" s="11" t="n">
        <v>45571</v>
      </c>
      <c r="C893" s="10" t="s">
        <v>755</v>
      </c>
    </row>
    <row r="894" customFormat="false" ht="15" hidden="false" customHeight="true" outlineLevel="0" collapsed="false">
      <c r="A894" s="10" t="s">
        <v>311</v>
      </c>
      <c r="B894" s="11" t="n">
        <v>45576</v>
      </c>
      <c r="C894" s="10" t="s">
        <v>755</v>
      </c>
    </row>
    <row r="895" customFormat="false" ht="15" hidden="false" customHeight="true" outlineLevel="0" collapsed="false">
      <c r="A895" s="10" t="s">
        <v>311</v>
      </c>
      <c r="B895" s="11" t="n">
        <v>45577</v>
      </c>
      <c r="C895" s="10" t="s">
        <v>755</v>
      </c>
    </row>
    <row r="896" customFormat="false" ht="15" hidden="false" customHeight="true" outlineLevel="0" collapsed="false">
      <c r="A896" s="10" t="s">
        <v>311</v>
      </c>
      <c r="B896" s="11" t="n">
        <v>45583</v>
      </c>
      <c r="C896" s="10" t="s">
        <v>755</v>
      </c>
    </row>
    <row r="897" customFormat="false" ht="15" hidden="false" customHeight="true" outlineLevel="0" collapsed="false">
      <c r="A897" s="10" t="s">
        <v>311</v>
      </c>
      <c r="B897" s="11" t="n">
        <v>45584</v>
      </c>
      <c r="C897" s="10" t="s">
        <v>755</v>
      </c>
    </row>
    <row r="898" customFormat="false" ht="15" hidden="false" customHeight="true" outlineLevel="0" collapsed="false">
      <c r="A898" s="10" t="s">
        <v>311</v>
      </c>
      <c r="B898" s="11" t="n">
        <v>45585</v>
      </c>
      <c r="C898" s="10" t="s">
        <v>755</v>
      </c>
    </row>
    <row r="899" customFormat="false" ht="15" hidden="false" customHeight="true" outlineLevel="0" collapsed="false">
      <c r="A899" s="10" t="s">
        <v>311</v>
      </c>
      <c r="B899" s="11" t="n">
        <v>45590</v>
      </c>
      <c r="C899" s="10" t="s">
        <v>755</v>
      </c>
    </row>
    <row r="900" customFormat="false" ht="15" hidden="false" customHeight="true" outlineLevel="0" collapsed="false">
      <c r="A900" s="10" t="s">
        <v>311</v>
      </c>
      <c r="B900" s="11" t="n">
        <v>45591</v>
      </c>
      <c r="C900" s="10" t="s">
        <v>755</v>
      </c>
    </row>
    <row r="901" customFormat="false" ht="15" hidden="false" customHeight="true" outlineLevel="0" collapsed="false">
      <c r="A901" s="10" t="s">
        <v>315</v>
      </c>
      <c r="B901" s="11" t="n">
        <v>45536</v>
      </c>
      <c r="C901" s="10" t="s">
        <v>755</v>
      </c>
    </row>
    <row r="902" customFormat="false" ht="15" hidden="false" customHeight="true" outlineLevel="0" collapsed="false">
      <c r="A902" s="10" t="s">
        <v>315</v>
      </c>
      <c r="B902" s="11" t="n">
        <v>45537</v>
      </c>
      <c r="C902" s="10" t="s">
        <v>755</v>
      </c>
    </row>
    <row r="903" customFormat="false" ht="15" hidden="false" customHeight="true" outlineLevel="0" collapsed="false">
      <c r="A903" s="10" t="s">
        <v>315</v>
      </c>
      <c r="B903" s="11" t="n">
        <v>45541</v>
      </c>
      <c r="C903" s="10" t="s">
        <v>755</v>
      </c>
    </row>
    <row r="904" customFormat="false" ht="15" hidden="false" customHeight="true" outlineLevel="0" collapsed="false">
      <c r="A904" s="10" t="s">
        <v>315</v>
      </c>
      <c r="B904" s="11" t="n">
        <v>45542</v>
      </c>
      <c r="C904" s="10" t="s">
        <v>755</v>
      </c>
    </row>
    <row r="905" customFormat="false" ht="15" hidden="false" customHeight="true" outlineLevel="0" collapsed="false">
      <c r="A905" s="10" t="s">
        <v>315</v>
      </c>
      <c r="B905" s="11" t="n">
        <v>45543</v>
      </c>
      <c r="C905" s="10" t="s">
        <v>755</v>
      </c>
    </row>
    <row r="906" customFormat="false" ht="15" hidden="false" customHeight="true" outlineLevel="0" collapsed="false">
      <c r="A906" s="10" t="s">
        <v>315</v>
      </c>
      <c r="B906" s="11" t="n">
        <v>45544</v>
      </c>
      <c r="C906" s="10" t="s">
        <v>755</v>
      </c>
    </row>
    <row r="907" customFormat="false" ht="15" hidden="false" customHeight="true" outlineLevel="0" collapsed="false">
      <c r="A907" s="10" t="s">
        <v>315</v>
      </c>
      <c r="B907" s="11" t="n">
        <v>45545</v>
      </c>
      <c r="C907" s="10" t="s">
        <v>755</v>
      </c>
    </row>
    <row r="908" customFormat="false" ht="15" hidden="false" customHeight="true" outlineLevel="0" collapsed="false">
      <c r="A908" s="10" t="s">
        <v>315</v>
      </c>
      <c r="B908" s="11" t="n">
        <v>45546</v>
      </c>
      <c r="C908" s="10" t="s">
        <v>755</v>
      </c>
    </row>
    <row r="909" customFormat="false" ht="15" hidden="false" customHeight="true" outlineLevel="0" collapsed="false">
      <c r="A909" s="10" t="s">
        <v>315</v>
      </c>
      <c r="B909" s="11" t="n">
        <v>45548</v>
      </c>
      <c r="C909" s="10" t="s">
        <v>755</v>
      </c>
    </row>
    <row r="910" customFormat="false" ht="15" hidden="false" customHeight="true" outlineLevel="0" collapsed="false">
      <c r="A910" s="10" t="s">
        <v>315</v>
      </c>
      <c r="B910" s="11" t="n">
        <v>45549</v>
      </c>
      <c r="C910" s="10" t="s">
        <v>755</v>
      </c>
    </row>
    <row r="911" customFormat="false" ht="15" hidden="false" customHeight="true" outlineLevel="0" collapsed="false">
      <c r="A911" s="10" t="s">
        <v>315</v>
      </c>
      <c r="B911" s="11" t="n">
        <v>45550</v>
      </c>
      <c r="C911" s="10" t="s">
        <v>755</v>
      </c>
    </row>
    <row r="912" customFormat="false" ht="15" hidden="false" customHeight="true" outlineLevel="0" collapsed="false">
      <c r="A912" s="10" t="s">
        <v>315</v>
      </c>
      <c r="B912" s="11" t="n">
        <v>45556</v>
      </c>
      <c r="C912" s="10" t="s">
        <v>755</v>
      </c>
    </row>
    <row r="913" customFormat="false" ht="15" hidden="false" customHeight="true" outlineLevel="0" collapsed="false">
      <c r="A913" s="10" t="s">
        <v>315</v>
      </c>
      <c r="B913" s="11" t="n">
        <v>45562</v>
      </c>
      <c r="C913" s="10" t="s">
        <v>755</v>
      </c>
    </row>
    <row r="914" customFormat="false" ht="15" hidden="false" customHeight="true" outlineLevel="0" collapsed="false">
      <c r="A914" s="10" t="s">
        <v>315</v>
      </c>
      <c r="B914" s="11" t="n">
        <v>45563</v>
      </c>
      <c r="C914" s="10" t="s">
        <v>755</v>
      </c>
    </row>
    <row r="915" customFormat="false" ht="15" hidden="false" customHeight="true" outlineLevel="0" collapsed="false">
      <c r="A915" s="10" t="s">
        <v>315</v>
      </c>
      <c r="B915" s="11" t="n">
        <v>45564</v>
      </c>
      <c r="C915" s="10" t="s">
        <v>755</v>
      </c>
    </row>
    <row r="916" customFormat="false" ht="15" hidden="false" customHeight="true" outlineLevel="0" collapsed="false">
      <c r="A916" s="10" t="s">
        <v>315</v>
      </c>
      <c r="B916" s="11" t="n">
        <v>45568</v>
      </c>
      <c r="C916" s="10" t="s">
        <v>755</v>
      </c>
    </row>
    <row r="917" customFormat="false" ht="15" hidden="false" customHeight="true" outlineLevel="0" collapsed="false">
      <c r="A917" s="10" t="s">
        <v>315</v>
      </c>
      <c r="B917" s="11" t="n">
        <v>45569</v>
      </c>
      <c r="C917" s="10" t="s">
        <v>755</v>
      </c>
    </row>
    <row r="918" customFormat="false" ht="15" hidden="false" customHeight="true" outlineLevel="0" collapsed="false">
      <c r="A918" s="10" t="s">
        <v>315</v>
      </c>
      <c r="B918" s="11" t="n">
        <v>45570</v>
      </c>
      <c r="C918" s="10" t="s">
        <v>755</v>
      </c>
    </row>
    <row r="919" customFormat="false" ht="15" hidden="false" customHeight="true" outlineLevel="0" collapsed="false">
      <c r="A919" s="10" t="s">
        <v>315</v>
      </c>
      <c r="B919" s="11" t="n">
        <v>45574</v>
      </c>
      <c r="C919" s="10" t="s">
        <v>755</v>
      </c>
    </row>
    <row r="920" customFormat="false" ht="15" hidden="false" customHeight="true" outlineLevel="0" collapsed="false">
      <c r="A920" s="10" t="s">
        <v>315</v>
      </c>
      <c r="B920" s="11" t="n">
        <v>45576</v>
      </c>
      <c r="C920" s="10" t="s">
        <v>755</v>
      </c>
    </row>
    <row r="921" customFormat="false" ht="15" hidden="false" customHeight="true" outlineLevel="0" collapsed="false">
      <c r="A921" s="10" t="s">
        <v>315</v>
      </c>
      <c r="B921" s="11" t="n">
        <v>45577</v>
      </c>
      <c r="C921" s="10" t="s">
        <v>755</v>
      </c>
    </row>
    <row r="922" customFormat="false" ht="15" hidden="false" customHeight="true" outlineLevel="0" collapsed="false">
      <c r="A922" s="10" t="s">
        <v>315</v>
      </c>
      <c r="B922" s="11" t="n">
        <v>45581</v>
      </c>
      <c r="C922" s="10" t="s">
        <v>755</v>
      </c>
    </row>
    <row r="923" customFormat="false" ht="15" hidden="false" customHeight="true" outlineLevel="0" collapsed="false">
      <c r="A923" s="10" t="s">
        <v>315</v>
      </c>
      <c r="B923" s="11" t="n">
        <v>45582</v>
      </c>
      <c r="C923" s="10" t="s">
        <v>755</v>
      </c>
    </row>
    <row r="924" customFormat="false" ht="15" hidden="false" customHeight="true" outlineLevel="0" collapsed="false">
      <c r="A924" s="10" t="s">
        <v>315</v>
      </c>
      <c r="B924" s="11" t="n">
        <v>45583</v>
      </c>
      <c r="C924" s="10" t="s">
        <v>755</v>
      </c>
    </row>
    <row r="925" customFormat="false" ht="15" hidden="false" customHeight="true" outlineLevel="0" collapsed="false">
      <c r="A925" s="10" t="s">
        <v>315</v>
      </c>
      <c r="B925" s="11" t="n">
        <v>45585</v>
      </c>
      <c r="C925" s="10" t="s">
        <v>755</v>
      </c>
    </row>
    <row r="926" customFormat="false" ht="15" hidden="false" customHeight="true" outlineLevel="0" collapsed="false">
      <c r="A926" s="10" t="s">
        <v>315</v>
      </c>
      <c r="B926" s="11" t="n">
        <v>45586</v>
      </c>
      <c r="C926" s="10" t="s">
        <v>755</v>
      </c>
    </row>
    <row r="927" customFormat="false" ht="15" hidden="false" customHeight="true" outlineLevel="0" collapsed="false">
      <c r="A927" s="10" t="s">
        <v>315</v>
      </c>
      <c r="B927" s="11" t="n">
        <v>45590</v>
      </c>
      <c r="C927" s="10" t="s">
        <v>755</v>
      </c>
    </row>
    <row r="928" customFormat="false" ht="15" hidden="false" customHeight="true" outlineLevel="0" collapsed="false">
      <c r="A928" s="10" t="s">
        <v>315</v>
      </c>
      <c r="B928" s="11" t="n">
        <v>45591</v>
      </c>
      <c r="C928" s="10" t="s">
        <v>755</v>
      </c>
    </row>
    <row r="929" customFormat="false" ht="15" hidden="false" customHeight="true" outlineLevel="0" collapsed="false">
      <c r="A929" s="10" t="s">
        <v>315</v>
      </c>
      <c r="B929" s="11" t="n">
        <v>45592</v>
      </c>
      <c r="C929" s="10" t="s">
        <v>755</v>
      </c>
    </row>
    <row r="930" customFormat="false" ht="15" hidden="false" customHeight="true" outlineLevel="0" collapsed="false">
      <c r="A930" s="10" t="s">
        <v>315</v>
      </c>
      <c r="B930" s="11" t="n">
        <v>45593</v>
      </c>
      <c r="C930" s="10" t="s">
        <v>755</v>
      </c>
    </row>
    <row r="931" customFormat="false" ht="15" hidden="false" customHeight="true" outlineLevel="0" collapsed="false">
      <c r="A931" s="10" t="s">
        <v>315</v>
      </c>
      <c r="B931" s="11" t="n">
        <v>45595</v>
      </c>
      <c r="C931" s="10" t="s">
        <v>755</v>
      </c>
    </row>
    <row r="932" customFormat="false" ht="15" hidden="false" customHeight="true" outlineLevel="0" collapsed="false">
      <c r="A932" s="10" t="s">
        <v>319</v>
      </c>
      <c r="B932" s="11" t="n">
        <v>45540</v>
      </c>
      <c r="C932" s="10" t="s">
        <v>756</v>
      </c>
    </row>
    <row r="933" customFormat="false" ht="15" hidden="false" customHeight="true" outlineLevel="0" collapsed="false">
      <c r="A933" s="10" t="s">
        <v>319</v>
      </c>
      <c r="B933" s="11" t="n">
        <v>45541</v>
      </c>
      <c r="C933" s="10" t="s">
        <v>756</v>
      </c>
    </row>
    <row r="934" customFormat="false" ht="15" hidden="false" customHeight="true" outlineLevel="0" collapsed="false">
      <c r="A934" s="10" t="s">
        <v>319</v>
      </c>
      <c r="B934" s="11" t="n">
        <v>45542</v>
      </c>
      <c r="C934" s="10" t="s">
        <v>756</v>
      </c>
    </row>
    <row r="935" customFormat="false" ht="15" hidden="false" customHeight="true" outlineLevel="0" collapsed="false">
      <c r="A935" s="10" t="s">
        <v>319</v>
      </c>
      <c r="B935" s="11" t="n">
        <v>45543</v>
      </c>
      <c r="C935" s="10" t="s">
        <v>756</v>
      </c>
    </row>
    <row r="936" customFormat="false" ht="15" hidden="false" customHeight="true" outlineLevel="0" collapsed="false">
      <c r="A936" s="10" t="s">
        <v>319</v>
      </c>
      <c r="B936" s="11" t="n">
        <v>45546</v>
      </c>
      <c r="C936" s="10" t="s">
        <v>756</v>
      </c>
    </row>
    <row r="937" customFormat="false" ht="15" hidden="false" customHeight="true" outlineLevel="0" collapsed="false">
      <c r="A937" s="10" t="s">
        <v>319</v>
      </c>
      <c r="B937" s="11" t="n">
        <v>45547</v>
      </c>
      <c r="C937" s="10" t="s">
        <v>756</v>
      </c>
    </row>
    <row r="938" customFormat="false" ht="15" hidden="false" customHeight="true" outlineLevel="0" collapsed="false">
      <c r="A938" s="10" t="s">
        <v>319</v>
      </c>
      <c r="B938" s="11" t="n">
        <v>45548</v>
      </c>
      <c r="C938" s="10" t="s">
        <v>756</v>
      </c>
    </row>
    <row r="939" customFormat="false" ht="15" hidden="false" customHeight="true" outlineLevel="0" collapsed="false">
      <c r="A939" s="10" t="s">
        <v>319</v>
      </c>
      <c r="B939" s="11" t="n">
        <v>45554</v>
      </c>
      <c r="C939" s="10" t="s">
        <v>756</v>
      </c>
    </row>
    <row r="940" customFormat="false" ht="15" hidden="false" customHeight="true" outlineLevel="0" collapsed="false">
      <c r="A940" s="10" t="s">
        <v>319</v>
      </c>
      <c r="B940" s="11" t="n">
        <v>45555</v>
      </c>
      <c r="C940" s="10" t="s">
        <v>756</v>
      </c>
    </row>
    <row r="941" customFormat="false" ht="15" hidden="false" customHeight="true" outlineLevel="0" collapsed="false">
      <c r="A941" s="10" t="s">
        <v>319</v>
      </c>
      <c r="B941" s="11" t="n">
        <v>45556</v>
      </c>
      <c r="C941" s="10" t="s">
        <v>756</v>
      </c>
    </row>
    <row r="942" customFormat="false" ht="15" hidden="false" customHeight="true" outlineLevel="0" collapsed="false">
      <c r="A942" s="10" t="s">
        <v>319</v>
      </c>
      <c r="B942" s="11" t="n">
        <v>45562</v>
      </c>
      <c r="C942" s="10" t="s">
        <v>756</v>
      </c>
    </row>
    <row r="943" customFormat="false" ht="15" hidden="false" customHeight="true" outlineLevel="0" collapsed="false">
      <c r="A943" s="10" t="s">
        <v>319</v>
      </c>
      <c r="B943" s="11" t="n">
        <v>45569</v>
      </c>
      <c r="C943" s="10" t="s">
        <v>756</v>
      </c>
    </row>
    <row r="944" customFormat="false" ht="15" hidden="false" customHeight="true" outlineLevel="0" collapsed="false">
      <c r="A944" s="10" t="s">
        <v>319</v>
      </c>
      <c r="B944" s="11" t="n">
        <v>45575</v>
      </c>
      <c r="C944" s="10" t="s">
        <v>756</v>
      </c>
    </row>
    <row r="945" customFormat="false" ht="15" hidden="false" customHeight="true" outlineLevel="0" collapsed="false">
      <c r="A945" s="10" t="s">
        <v>319</v>
      </c>
      <c r="B945" s="11" t="n">
        <v>45576</v>
      </c>
      <c r="C945" s="10" t="s">
        <v>756</v>
      </c>
    </row>
    <row r="946" customFormat="false" ht="15" hidden="false" customHeight="true" outlineLevel="0" collapsed="false">
      <c r="A946" s="10" t="s">
        <v>319</v>
      </c>
      <c r="B946" s="11" t="n">
        <v>45583</v>
      </c>
      <c r="C946" s="10" t="s">
        <v>756</v>
      </c>
    </row>
    <row r="947" customFormat="false" ht="15" hidden="false" customHeight="true" outlineLevel="0" collapsed="false">
      <c r="A947" s="10" t="s">
        <v>319</v>
      </c>
      <c r="B947" s="11" t="n">
        <v>45584</v>
      </c>
      <c r="C947" s="10" t="s">
        <v>756</v>
      </c>
    </row>
    <row r="948" customFormat="false" ht="15" hidden="false" customHeight="true" outlineLevel="0" collapsed="false">
      <c r="A948" s="10" t="s">
        <v>324</v>
      </c>
      <c r="B948" s="11" t="n">
        <v>45541</v>
      </c>
      <c r="C948" s="10" t="s">
        <v>756</v>
      </c>
    </row>
    <row r="949" customFormat="false" ht="15" hidden="false" customHeight="true" outlineLevel="0" collapsed="false">
      <c r="A949" s="10" t="s">
        <v>324</v>
      </c>
      <c r="B949" s="11" t="n">
        <v>45542</v>
      </c>
      <c r="C949" s="10" t="s">
        <v>756</v>
      </c>
    </row>
    <row r="950" customFormat="false" ht="15" hidden="false" customHeight="true" outlineLevel="0" collapsed="false">
      <c r="A950" s="10" t="s">
        <v>324</v>
      </c>
      <c r="B950" s="11" t="n">
        <v>45548</v>
      </c>
      <c r="C950" s="10" t="s">
        <v>756</v>
      </c>
    </row>
    <row r="951" customFormat="false" ht="15" hidden="false" customHeight="true" outlineLevel="0" collapsed="false">
      <c r="A951" s="10" t="s">
        <v>324</v>
      </c>
      <c r="B951" s="11" t="n">
        <v>45549</v>
      </c>
      <c r="C951" s="10" t="s">
        <v>756</v>
      </c>
    </row>
    <row r="952" customFormat="false" ht="15" hidden="false" customHeight="true" outlineLevel="0" collapsed="false">
      <c r="A952" s="10" t="s">
        <v>324</v>
      </c>
      <c r="B952" s="11" t="n">
        <v>45554</v>
      </c>
      <c r="C952" s="10" t="s">
        <v>756</v>
      </c>
    </row>
    <row r="953" customFormat="false" ht="15" hidden="false" customHeight="true" outlineLevel="0" collapsed="false">
      <c r="A953" s="10" t="s">
        <v>324</v>
      </c>
      <c r="B953" s="11" t="n">
        <v>45555</v>
      </c>
      <c r="C953" s="10" t="s">
        <v>756</v>
      </c>
    </row>
    <row r="954" customFormat="false" ht="15" hidden="false" customHeight="true" outlineLevel="0" collapsed="false">
      <c r="A954" s="10" t="s">
        <v>324</v>
      </c>
      <c r="B954" s="11" t="n">
        <v>45556</v>
      </c>
      <c r="C954" s="10" t="s">
        <v>756</v>
      </c>
    </row>
    <row r="955" customFormat="false" ht="15" hidden="false" customHeight="true" outlineLevel="0" collapsed="false">
      <c r="A955" s="10" t="s">
        <v>324</v>
      </c>
      <c r="B955" s="11" t="n">
        <v>45561</v>
      </c>
      <c r="C955" s="10" t="s">
        <v>756</v>
      </c>
    </row>
    <row r="956" customFormat="false" ht="15" hidden="false" customHeight="true" outlineLevel="0" collapsed="false">
      <c r="A956" s="10" t="s">
        <v>324</v>
      </c>
      <c r="B956" s="11" t="n">
        <v>45562</v>
      </c>
      <c r="C956" s="10" t="s">
        <v>756</v>
      </c>
    </row>
    <row r="957" customFormat="false" ht="15" hidden="false" customHeight="true" outlineLevel="0" collapsed="false">
      <c r="A957" s="10" t="s">
        <v>324</v>
      </c>
      <c r="B957" s="11" t="n">
        <v>45563</v>
      </c>
      <c r="C957" s="10" t="s">
        <v>756</v>
      </c>
    </row>
    <row r="958" customFormat="false" ht="15" hidden="false" customHeight="true" outlineLevel="0" collapsed="false">
      <c r="A958" s="10" t="s">
        <v>324</v>
      </c>
      <c r="B958" s="11" t="n">
        <v>45564</v>
      </c>
      <c r="C958" s="10" t="s">
        <v>756</v>
      </c>
    </row>
    <row r="959" customFormat="false" ht="15" hidden="false" customHeight="true" outlineLevel="0" collapsed="false">
      <c r="A959" s="10" t="s">
        <v>324</v>
      </c>
      <c r="B959" s="11" t="n">
        <v>45569</v>
      </c>
      <c r="C959" s="10" t="s">
        <v>756</v>
      </c>
    </row>
    <row r="960" customFormat="false" ht="15" hidden="false" customHeight="true" outlineLevel="0" collapsed="false">
      <c r="A960" s="10" t="s">
        <v>324</v>
      </c>
      <c r="B960" s="11" t="n">
        <v>45570</v>
      </c>
      <c r="C960" s="10" t="s">
        <v>756</v>
      </c>
    </row>
    <row r="961" customFormat="false" ht="15" hidden="false" customHeight="true" outlineLevel="0" collapsed="false">
      <c r="A961" s="10" t="s">
        <v>324</v>
      </c>
      <c r="B961" s="11" t="n">
        <v>45577</v>
      </c>
      <c r="C961" s="10" t="s">
        <v>756</v>
      </c>
    </row>
    <row r="962" customFormat="false" ht="15" hidden="false" customHeight="true" outlineLevel="0" collapsed="false">
      <c r="A962" s="10" t="s">
        <v>324</v>
      </c>
      <c r="B962" s="11" t="n">
        <v>45583</v>
      </c>
      <c r="C962" s="10" t="s">
        <v>756</v>
      </c>
    </row>
    <row r="963" customFormat="false" ht="15" hidden="false" customHeight="true" outlineLevel="0" collapsed="false">
      <c r="A963" s="10" t="s">
        <v>324</v>
      </c>
      <c r="B963" s="11" t="n">
        <v>45584</v>
      </c>
      <c r="C963" s="10" t="s">
        <v>756</v>
      </c>
    </row>
    <row r="964" customFormat="false" ht="15" hidden="false" customHeight="true" outlineLevel="0" collapsed="false">
      <c r="A964" s="10" t="s">
        <v>324</v>
      </c>
      <c r="B964" s="11" t="n">
        <v>45590</v>
      </c>
      <c r="C964" s="10" t="s">
        <v>756</v>
      </c>
    </row>
    <row r="965" customFormat="false" ht="15" hidden="false" customHeight="true" outlineLevel="0" collapsed="false">
      <c r="A965" s="10" t="s">
        <v>324</v>
      </c>
      <c r="B965" s="11" t="n">
        <v>45591</v>
      </c>
      <c r="C965" s="10" t="s">
        <v>756</v>
      </c>
    </row>
    <row r="966" customFormat="false" ht="15" hidden="false" customHeight="true" outlineLevel="0" collapsed="false">
      <c r="A966" s="10" t="s">
        <v>328</v>
      </c>
      <c r="B966" s="11" t="n">
        <v>45488</v>
      </c>
      <c r="C966" s="10" t="s">
        <v>756</v>
      </c>
    </row>
    <row r="967" customFormat="false" ht="15" hidden="false" customHeight="true" outlineLevel="0" collapsed="false">
      <c r="A967" s="10" t="s">
        <v>328</v>
      </c>
      <c r="B967" s="11" t="n">
        <v>45489</v>
      </c>
      <c r="C967" s="10" t="s">
        <v>756</v>
      </c>
    </row>
    <row r="968" customFormat="false" ht="15" hidden="false" customHeight="true" outlineLevel="0" collapsed="false">
      <c r="A968" s="10" t="s">
        <v>328</v>
      </c>
      <c r="B968" s="11" t="n">
        <v>45492</v>
      </c>
      <c r="C968" s="10" t="s">
        <v>756</v>
      </c>
    </row>
    <row r="969" customFormat="false" ht="15" hidden="false" customHeight="true" outlineLevel="0" collapsed="false">
      <c r="A969" s="10" t="s">
        <v>328</v>
      </c>
      <c r="B969" s="11" t="n">
        <v>45493</v>
      </c>
      <c r="C969" s="10" t="s">
        <v>756</v>
      </c>
    </row>
    <row r="970" customFormat="false" ht="15" hidden="false" customHeight="true" outlineLevel="0" collapsed="false">
      <c r="A970" s="10" t="s">
        <v>328</v>
      </c>
      <c r="B970" s="11" t="n">
        <v>45496</v>
      </c>
      <c r="C970" s="10" t="s">
        <v>756</v>
      </c>
    </row>
    <row r="971" customFormat="false" ht="15" hidden="false" customHeight="true" outlineLevel="0" collapsed="false">
      <c r="A971" s="10" t="s">
        <v>328</v>
      </c>
      <c r="B971" s="11" t="n">
        <v>45499</v>
      </c>
      <c r="C971" s="10" t="s">
        <v>756</v>
      </c>
    </row>
    <row r="972" customFormat="false" ht="15" hidden="false" customHeight="true" outlineLevel="0" collapsed="false">
      <c r="A972" s="10" t="s">
        <v>328</v>
      </c>
      <c r="B972" s="11" t="n">
        <v>45500</v>
      </c>
      <c r="C972" s="10" t="s">
        <v>756</v>
      </c>
    </row>
    <row r="973" customFormat="false" ht="15" hidden="false" customHeight="true" outlineLevel="0" collapsed="false">
      <c r="A973" s="10" t="s">
        <v>328</v>
      </c>
      <c r="B973" s="11" t="n">
        <v>45501</v>
      </c>
      <c r="C973" s="10" t="s">
        <v>756</v>
      </c>
    </row>
    <row r="974" customFormat="false" ht="15" hidden="false" customHeight="true" outlineLevel="0" collapsed="false">
      <c r="A974" s="10" t="s">
        <v>328</v>
      </c>
      <c r="B974" s="11" t="n">
        <v>45503</v>
      </c>
      <c r="C974" s="10" t="s">
        <v>756</v>
      </c>
    </row>
    <row r="975" customFormat="false" ht="15" hidden="false" customHeight="true" outlineLevel="0" collapsed="false">
      <c r="A975" s="10" t="s">
        <v>328</v>
      </c>
      <c r="B975" s="11" t="n">
        <v>45506</v>
      </c>
      <c r="C975" s="10" t="s">
        <v>756</v>
      </c>
    </row>
    <row r="976" customFormat="false" ht="15" hidden="false" customHeight="true" outlineLevel="0" collapsed="false">
      <c r="A976" s="10" t="s">
        <v>328</v>
      </c>
      <c r="B976" s="11" t="n">
        <v>45507</v>
      </c>
      <c r="C976" s="10" t="s">
        <v>756</v>
      </c>
    </row>
    <row r="977" customFormat="false" ht="15" hidden="false" customHeight="true" outlineLevel="0" collapsed="false">
      <c r="A977" s="10" t="s">
        <v>328</v>
      </c>
      <c r="B977" s="11" t="n">
        <v>45508</v>
      </c>
      <c r="C977" s="10" t="s">
        <v>756</v>
      </c>
    </row>
    <row r="978" customFormat="false" ht="15" hidden="false" customHeight="true" outlineLevel="0" collapsed="false">
      <c r="A978" s="10" t="s">
        <v>328</v>
      </c>
      <c r="B978" s="11" t="n">
        <v>45511</v>
      </c>
      <c r="C978" s="10" t="s">
        <v>756</v>
      </c>
    </row>
    <row r="979" customFormat="false" ht="15" hidden="false" customHeight="true" outlineLevel="0" collapsed="false">
      <c r="A979" s="10" t="s">
        <v>328</v>
      </c>
      <c r="B979" s="11" t="n">
        <v>45512</v>
      </c>
      <c r="C979" s="10" t="s">
        <v>756</v>
      </c>
    </row>
    <row r="980" customFormat="false" ht="15" hidden="false" customHeight="true" outlineLevel="0" collapsed="false">
      <c r="A980" s="10" t="s">
        <v>328</v>
      </c>
      <c r="B980" s="11" t="n">
        <v>45513</v>
      </c>
      <c r="C980" s="10" t="s">
        <v>756</v>
      </c>
    </row>
    <row r="981" customFormat="false" ht="15" hidden="false" customHeight="true" outlineLevel="0" collapsed="false">
      <c r="A981" s="10" t="s">
        <v>328</v>
      </c>
      <c r="B981" s="11" t="n">
        <v>45514</v>
      </c>
      <c r="C981" s="10" t="s">
        <v>756</v>
      </c>
    </row>
    <row r="982" customFormat="false" ht="15" hidden="false" customHeight="true" outlineLevel="0" collapsed="false">
      <c r="A982" s="10" t="s">
        <v>328</v>
      </c>
      <c r="B982" s="11" t="n">
        <v>45515</v>
      </c>
      <c r="C982" s="10" t="s">
        <v>756</v>
      </c>
    </row>
    <row r="983" customFormat="false" ht="15" hidden="false" customHeight="true" outlineLevel="0" collapsed="false">
      <c r="A983" s="10" t="s">
        <v>328</v>
      </c>
      <c r="B983" s="11" t="n">
        <v>45518</v>
      </c>
      <c r="C983" s="10" t="s">
        <v>756</v>
      </c>
    </row>
    <row r="984" customFormat="false" ht="15" hidden="false" customHeight="true" outlineLevel="0" collapsed="false">
      <c r="A984" s="10" t="s">
        <v>328</v>
      </c>
      <c r="B984" s="11" t="n">
        <v>45520</v>
      </c>
      <c r="C984" s="10" t="s">
        <v>756</v>
      </c>
    </row>
    <row r="985" customFormat="false" ht="15" hidden="false" customHeight="true" outlineLevel="0" collapsed="false">
      <c r="A985" s="10" t="s">
        <v>328</v>
      </c>
      <c r="B985" s="11" t="n">
        <v>45521</v>
      </c>
      <c r="C985" s="10" t="s">
        <v>756</v>
      </c>
    </row>
    <row r="986" customFormat="false" ht="15" hidden="false" customHeight="true" outlineLevel="0" collapsed="false">
      <c r="A986" s="10" t="s">
        <v>328</v>
      </c>
      <c r="B986" s="11" t="n">
        <v>45522</v>
      </c>
      <c r="C986" s="10" t="s">
        <v>756</v>
      </c>
    </row>
    <row r="987" customFormat="false" ht="15" hidden="false" customHeight="true" outlineLevel="0" collapsed="false">
      <c r="A987" s="10" t="s">
        <v>328</v>
      </c>
      <c r="B987" s="11" t="n">
        <v>45523</v>
      </c>
      <c r="C987" s="10" t="s">
        <v>756</v>
      </c>
    </row>
    <row r="988" customFormat="false" ht="15" hidden="false" customHeight="true" outlineLevel="0" collapsed="false">
      <c r="A988" s="10" t="s">
        <v>328</v>
      </c>
      <c r="B988" s="11" t="n">
        <v>45527</v>
      </c>
      <c r="C988" s="10" t="s">
        <v>756</v>
      </c>
    </row>
    <row r="989" customFormat="false" ht="15" hidden="false" customHeight="true" outlineLevel="0" collapsed="false">
      <c r="A989" s="10" t="s">
        <v>328</v>
      </c>
      <c r="B989" s="11" t="n">
        <v>45528</v>
      </c>
      <c r="C989" s="10" t="s">
        <v>756</v>
      </c>
    </row>
    <row r="990" customFormat="false" ht="15" hidden="false" customHeight="true" outlineLevel="0" collapsed="false">
      <c r="A990" s="10" t="s">
        <v>328</v>
      </c>
      <c r="B990" s="11" t="n">
        <v>45530</v>
      </c>
      <c r="C990" s="10" t="s">
        <v>756</v>
      </c>
    </row>
    <row r="991" customFormat="false" ht="15" hidden="false" customHeight="true" outlineLevel="0" collapsed="false">
      <c r="A991" s="10" t="s">
        <v>328</v>
      </c>
      <c r="B991" s="11" t="n">
        <v>45533</v>
      </c>
      <c r="C991" s="10" t="s">
        <v>756</v>
      </c>
    </row>
    <row r="992" customFormat="false" ht="15" hidden="false" customHeight="true" outlineLevel="0" collapsed="false">
      <c r="A992" s="10" t="s">
        <v>328</v>
      </c>
      <c r="B992" s="11" t="n">
        <v>45534</v>
      </c>
      <c r="C992" s="10" t="s">
        <v>756</v>
      </c>
    </row>
    <row r="993" customFormat="false" ht="15" hidden="false" customHeight="true" outlineLevel="0" collapsed="false">
      <c r="A993" s="10" t="s">
        <v>328</v>
      </c>
      <c r="B993" s="11" t="n">
        <v>45535</v>
      </c>
      <c r="C993" s="10" t="s">
        <v>756</v>
      </c>
    </row>
    <row r="994" customFormat="false" ht="15" hidden="false" customHeight="true" outlineLevel="0" collapsed="false">
      <c r="A994" s="10" t="s">
        <v>333</v>
      </c>
      <c r="B994" s="11" t="n">
        <v>45492</v>
      </c>
      <c r="C994" s="10" t="s">
        <v>756</v>
      </c>
    </row>
    <row r="995" customFormat="false" ht="15" hidden="false" customHeight="true" outlineLevel="0" collapsed="false">
      <c r="A995" s="10" t="s">
        <v>333</v>
      </c>
      <c r="B995" s="11" t="n">
        <v>45493</v>
      </c>
      <c r="C995" s="10" t="s">
        <v>756</v>
      </c>
    </row>
    <row r="996" customFormat="false" ht="15" hidden="false" customHeight="true" outlineLevel="0" collapsed="false">
      <c r="A996" s="10" t="s">
        <v>333</v>
      </c>
      <c r="B996" s="11" t="n">
        <v>45494</v>
      </c>
      <c r="C996" s="10" t="s">
        <v>756</v>
      </c>
    </row>
    <row r="997" customFormat="false" ht="15" hidden="false" customHeight="true" outlineLevel="0" collapsed="false">
      <c r="A997" s="10" t="s">
        <v>333</v>
      </c>
      <c r="B997" s="11" t="n">
        <v>45499</v>
      </c>
      <c r="C997" s="10" t="s">
        <v>756</v>
      </c>
    </row>
    <row r="998" customFormat="false" ht="15" hidden="false" customHeight="true" outlineLevel="0" collapsed="false">
      <c r="A998" s="10" t="s">
        <v>333</v>
      </c>
      <c r="B998" s="11" t="n">
        <v>45500</v>
      </c>
      <c r="C998" s="10" t="s">
        <v>756</v>
      </c>
    </row>
    <row r="999" customFormat="false" ht="15" hidden="false" customHeight="true" outlineLevel="0" collapsed="false">
      <c r="A999" s="10" t="s">
        <v>333</v>
      </c>
      <c r="B999" s="11" t="n">
        <v>45501</v>
      </c>
      <c r="C999" s="10" t="s">
        <v>756</v>
      </c>
    </row>
    <row r="1000" customFormat="false" ht="15" hidden="false" customHeight="true" outlineLevel="0" collapsed="false">
      <c r="A1000" s="10" t="s">
        <v>333</v>
      </c>
      <c r="B1000" s="11" t="n">
        <v>45507</v>
      </c>
      <c r="C1000" s="10" t="s">
        <v>756</v>
      </c>
    </row>
    <row r="1001" customFormat="false" ht="15" hidden="false" customHeight="true" outlineLevel="0" collapsed="false">
      <c r="A1001" s="10" t="s">
        <v>333</v>
      </c>
      <c r="B1001" s="11" t="n">
        <v>45508</v>
      </c>
      <c r="C1001" s="10" t="s">
        <v>756</v>
      </c>
    </row>
    <row r="1002" customFormat="false" ht="15" hidden="false" customHeight="true" outlineLevel="0" collapsed="false">
      <c r="A1002" s="10" t="s">
        <v>333</v>
      </c>
      <c r="B1002" s="11" t="n">
        <v>45511</v>
      </c>
      <c r="C1002" s="10" t="s">
        <v>756</v>
      </c>
    </row>
    <row r="1003" customFormat="false" ht="15" hidden="false" customHeight="true" outlineLevel="0" collapsed="false">
      <c r="A1003" s="10" t="s">
        <v>333</v>
      </c>
      <c r="B1003" s="11" t="n">
        <v>45512</v>
      </c>
      <c r="C1003" s="10" t="s">
        <v>756</v>
      </c>
    </row>
    <row r="1004" customFormat="false" ht="15" hidden="false" customHeight="true" outlineLevel="0" collapsed="false">
      <c r="A1004" s="10" t="s">
        <v>333</v>
      </c>
      <c r="B1004" s="11" t="n">
        <v>45514</v>
      </c>
      <c r="C1004" s="10" t="s">
        <v>756</v>
      </c>
    </row>
    <row r="1005" customFormat="false" ht="15" hidden="false" customHeight="true" outlineLevel="0" collapsed="false">
      <c r="A1005" s="10" t="s">
        <v>333</v>
      </c>
      <c r="B1005" s="11" t="n">
        <v>45517</v>
      </c>
      <c r="C1005" s="10" t="s">
        <v>756</v>
      </c>
    </row>
    <row r="1006" customFormat="false" ht="15" hidden="false" customHeight="true" outlineLevel="0" collapsed="false">
      <c r="A1006" s="10" t="s">
        <v>333</v>
      </c>
      <c r="B1006" s="11" t="n">
        <v>45519</v>
      </c>
      <c r="C1006" s="10" t="s">
        <v>756</v>
      </c>
    </row>
    <row r="1007" customFormat="false" ht="15" hidden="false" customHeight="true" outlineLevel="0" collapsed="false">
      <c r="A1007" s="10" t="s">
        <v>333</v>
      </c>
      <c r="B1007" s="11" t="n">
        <v>45520</v>
      </c>
      <c r="C1007" s="10" t="s">
        <v>756</v>
      </c>
    </row>
    <row r="1008" customFormat="false" ht="15" hidden="false" customHeight="true" outlineLevel="0" collapsed="false">
      <c r="A1008" s="10" t="s">
        <v>333</v>
      </c>
      <c r="B1008" s="11" t="n">
        <v>45521</v>
      </c>
      <c r="C1008" s="10" t="s">
        <v>756</v>
      </c>
    </row>
    <row r="1009" customFormat="false" ht="15" hidden="false" customHeight="true" outlineLevel="0" collapsed="false">
      <c r="A1009" s="10" t="s">
        <v>333</v>
      </c>
      <c r="B1009" s="11" t="n">
        <v>45526</v>
      </c>
      <c r="C1009" s="10" t="s">
        <v>756</v>
      </c>
    </row>
    <row r="1010" customFormat="false" ht="15" hidden="false" customHeight="true" outlineLevel="0" collapsed="false">
      <c r="A1010" s="10" t="s">
        <v>333</v>
      </c>
      <c r="B1010" s="11" t="n">
        <v>45528</v>
      </c>
      <c r="C1010" s="10" t="s">
        <v>756</v>
      </c>
    </row>
    <row r="1011" customFormat="false" ht="15" hidden="false" customHeight="true" outlineLevel="0" collapsed="false">
      <c r="A1011" s="10" t="s">
        <v>333</v>
      </c>
      <c r="B1011" s="11" t="n">
        <v>45529</v>
      </c>
      <c r="C1011" s="10" t="s">
        <v>756</v>
      </c>
    </row>
    <row r="1012" customFormat="false" ht="15" hidden="false" customHeight="true" outlineLevel="0" collapsed="false">
      <c r="A1012" s="10" t="s">
        <v>333</v>
      </c>
      <c r="B1012" s="11" t="n">
        <v>45533</v>
      </c>
      <c r="C1012" s="10" t="s">
        <v>756</v>
      </c>
    </row>
    <row r="1013" customFormat="false" ht="15" hidden="false" customHeight="true" outlineLevel="0" collapsed="false">
      <c r="A1013" s="10" t="s">
        <v>333</v>
      </c>
      <c r="B1013" s="11" t="n">
        <v>45535</v>
      </c>
      <c r="C1013" s="10" t="s">
        <v>756</v>
      </c>
    </row>
    <row r="1014" customFormat="false" ht="15" hidden="false" customHeight="true" outlineLevel="0" collapsed="false">
      <c r="A1014" s="10" t="s">
        <v>337</v>
      </c>
      <c r="B1014" s="11" t="n">
        <v>45488</v>
      </c>
      <c r="C1014" s="10" t="s">
        <v>756</v>
      </c>
    </row>
    <row r="1015" customFormat="false" ht="15" hidden="false" customHeight="true" outlineLevel="0" collapsed="false">
      <c r="A1015" s="10" t="s">
        <v>337</v>
      </c>
      <c r="B1015" s="11" t="n">
        <v>45491</v>
      </c>
      <c r="C1015" s="10" t="s">
        <v>756</v>
      </c>
    </row>
    <row r="1016" customFormat="false" ht="15" hidden="false" customHeight="true" outlineLevel="0" collapsed="false">
      <c r="A1016" s="10" t="s">
        <v>337</v>
      </c>
      <c r="B1016" s="11" t="n">
        <v>45492</v>
      </c>
      <c r="C1016" s="10" t="s">
        <v>756</v>
      </c>
    </row>
    <row r="1017" customFormat="false" ht="15" hidden="false" customHeight="true" outlineLevel="0" collapsed="false">
      <c r="A1017" s="10" t="s">
        <v>337</v>
      </c>
      <c r="B1017" s="11" t="n">
        <v>45493</v>
      </c>
      <c r="C1017" s="10" t="s">
        <v>756</v>
      </c>
    </row>
    <row r="1018" customFormat="false" ht="15" hidden="false" customHeight="true" outlineLevel="0" collapsed="false">
      <c r="A1018" s="10" t="s">
        <v>337</v>
      </c>
      <c r="B1018" s="11" t="n">
        <v>45494</v>
      </c>
      <c r="C1018" s="10" t="s">
        <v>756</v>
      </c>
    </row>
    <row r="1019" customFormat="false" ht="15" hidden="false" customHeight="true" outlineLevel="0" collapsed="false">
      <c r="A1019" s="10" t="s">
        <v>337</v>
      </c>
      <c r="B1019" s="11" t="n">
        <v>45495</v>
      </c>
      <c r="C1019" s="10" t="s">
        <v>756</v>
      </c>
    </row>
    <row r="1020" customFormat="false" ht="15" hidden="false" customHeight="true" outlineLevel="0" collapsed="false">
      <c r="A1020" s="10" t="s">
        <v>337</v>
      </c>
      <c r="B1020" s="11" t="n">
        <v>45498</v>
      </c>
      <c r="C1020" s="10" t="s">
        <v>756</v>
      </c>
    </row>
    <row r="1021" customFormat="false" ht="15" hidden="false" customHeight="true" outlineLevel="0" collapsed="false">
      <c r="A1021" s="10" t="s">
        <v>337</v>
      </c>
      <c r="B1021" s="11" t="n">
        <v>45499</v>
      </c>
      <c r="C1021" s="10" t="s">
        <v>756</v>
      </c>
    </row>
    <row r="1022" customFormat="false" ht="15" hidden="false" customHeight="true" outlineLevel="0" collapsed="false">
      <c r="A1022" s="10" t="s">
        <v>337</v>
      </c>
      <c r="B1022" s="11" t="n">
        <v>45500</v>
      </c>
      <c r="C1022" s="10" t="s">
        <v>756</v>
      </c>
    </row>
    <row r="1023" customFormat="false" ht="15" hidden="false" customHeight="true" outlineLevel="0" collapsed="false">
      <c r="A1023" s="10" t="s">
        <v>337</v>
      </c>
      <c r="B1023" s="11" t="n">
        <v>45501</v>
      </c>
      <c r="C1023" s="10" t="s">
        <v>756</v>
      </c>
    </row>
    <row r="1024" customFormat="false" ht="15" hidden="false" customHeight="true" outlineLevel="0" collapsed="false">
      <c r="A1024" s="10" t="s">
        <v>337</v>
      </c>
      <c r="B1024" s="11" t="n">
        <v>45506</v>
      </c>
      <c r="C1024" s="10" t="s">
        <v>756</v>
      </c>
    </row>
    <row r="1025" customFormat="false" ht="15" hidden="false" customHeight="true" outlineLevel="0" collapsed="false">
      <c r="A1025" s="10" t="s">
        <v>337</v>
      </c>
      <c r="B1025" s="11" t="n">
        <v>45507</v>
      </c>
      <c r="C1025" s="10" t="s">
        <v>756</v>
      </c>
    </row>
    <row r="1026" customFormat="false" ht="15" hidden="false" customHeight="true" outlineLevel="0" collapsed="false">
      <c r="A1026" s="10" t="s">
        <v>337</v>
      </c>
      <c r="B1026" s="11" t="n">
        <v>45508</v>
      </c>
      <c r="C1026" s="10" t="s">
        <v>756</v>
      </c>
    </row>
    <row r="1027" customFormat="false" ht="15" hidden="false" customHeight="true" outlineLevel="0" collapsed="false">
      <c r="A1027" s="10" t="s">
        <v>337</v>
      </c>
      <c r="B1027" s="11" t="n">
        <v>45513</v>
      </c>
      <c r="C1027" s="10" t="s">
        <v>756</v>
      </c>
    </row>
    <row r="1028" customFormat="false" ht="15" hidden="false" customHeight="true" outlineLevel="0" collapsed="false">
      <c r="A1028" s="10" t="s">
        <v>337</v>
      </c>
      <c r="B1028" s="11" t="n">
        <v>45514</v>
      </c>
      <c r="C1028" s="10" t="s">
        <v>756</v>
      </c>
    </row>
    <row r="1029" customFormat="false" ht="15" hidden="false" customHeight="true" outlineLevel="0" collapsed="false">
      <c r="A1029" s="10" t="s">
        <v>337</v>
      </c>
      <c r="B1029" s="11" t="n">
        <v>45515</v>
      </c>
      <c r="C1029" s="10" t="s">
        <v>756</v>
      </c>
    </row>
    <row r="1030" customFormat="false" ht="15" hidden="false" customHeight="true" outlineLevel="0" collapsed="false">
      <c r="A1030" s="10" t="s">
        <v>337</v>
      </c>
      <c r="B1030" s="11" t="n">
        <v>45520</v>
      </c>
      <c r="C1030" s="10" t="s">
        <v>756</v>
      </c>
    </row>
    <row r="1031" customFormat="false" ht="15" hidden="false" customHeight="true" outlineLevel="0" collapsed="false">
      <c r="A1031" s="10" t="s">
        <v>337</v>
      </c>
      <c r="B1031" s="11" t="n">
        <v>45521</v>
      </c>
      <c r="C1031" s="10" t="s">
        <v>756</v>
      </c>
    </row>
    <row r="1032" customFormat="false" ht="15" hidden="false" customHeight="true" outlineLevel="0" collapsed="false">
      <c r="A1032" s="10" t="s">
        <v>337</v>
      </c>
      <c r="B1032" s="11" t="n">
        <v>45524</v>
      </c>
      <c r="C1032" s="10" t="s">
        <v>756</v>
      </c>
    </row>
    <row r="1033" customFormat="false" ht="15" hidden="false" customHeight="true" outlineLevel="0" collapsed="false">
      <c r="A1033" s="10" t="s">
        <v>337</v>
      </c>
      <c r="B1033" s="11" t="n">
        <v>45525</v>
      </c>
      <c r="C1033" s="10" t="s">
        <v>756</v>
      </c>
    </row>
    <row r="1034" customFormat="false" ht="15" hidden="false" customHeight="true" outlineLevel="0" collapsed="false">
      <c r="A1034" s="10" t="s">
        <v>337</v>
      </c>
      <c r="B1034" s="11" t="n">
        <v>45526</v>
      </c>
      <c r="C1034" s="10" t="s">
        <v>756</v>
      </c>
    </row>
    <row r="1035" customFormat="false" ht="15" hidden="false" customHeight="true" outlineLevel="0" collapsed="false">
      <c r="A1035" s="10" t="s">
        <v>337</v>
      </c>
      <c r="B1035" s="11" t="n">
        <v>45527</v>
      </c>
      <c r="C1035" s="10" t="s">
        <v>756</v>
      </c>
    </row>
    <row r="1036" customFormat="false" ht="15" hidden="false" customHeight="true" outlineLevel="0" collapsed="false">
      <c r="A1036" s="10" t="s">
        <v>337</v>
      </c>
      <c r="B1036" s="11" t="n">
        <v>45528</v>
      </c>
      <c r="C1036" s="10" t="s">
        <v>756</v>
      </c>
    </row>
    <row r="1037" customFormat="false" ht="15" hidden="false" customHeight="true" outlineLevel="0" collapsed="false">
      <c r="A1037" s="10" t="s">
        <v>337</v>
      </c>
      <c r="B1037" s="11" t="n">
        <v>45534</v>
      </c>
      <c r="C1037" s="10" t="s">
        <v>756</v>
      </c>
    </row>
    <row r="1038" customFormat="false" ht="15" hidden="false" customHeight="true" outlineLevel="0" collapsed="false">
      <c r="A1038" s="10" t="s">
        <v>337</v>
      </c>
      <c r="B1038" s="11" t="n">
        <v>45535</v>
      </c>
      <c r="C1038" s="10" t="s">
        <v>756</v>
      </c>
    </row>
    <row r="1039" customFormat="false" ht="15" hidden="false" customHeight="true" outlineLevel="0" collapsed="false">
      <c r="A1039" s="10" t="s">
        <v>340</v>
      </c>
      <c r="B1039" s="11" t="n">
        <v>45489</v>
      </c>
      <c r="C1039" s="10" t="s">
        <v>755</v>
      </c>
    </row>
    <row r="1040" customFormat="false" ht="15" hidden="false" customHeight="true" outlineLevel="0" collapsed="false">
      <c r="A1040" s="10" t="s">
        <v>340</v>
      </c>
      <c r="B1040" s="11" t="n">
        <v>45491</v>
      </c>
      <c r="C1040" s="10" t="s">
        <v>755</v>
      </c>
    </row>
    <row r="1041" customFormat="false" ht="15" hidden="false" customHeight="true" outlineLevel="0" collapsed="false">
      <c r="A1041" s="10" t="s">
        <v>340</v>
      </c>
      <c r="B1041" s="11" t="n">
        <v>45492</v>
      </c>
      <c r="C1041" s="10" t="s">
        <v>755</v>
      </c>
    </row>
    <row r="1042" customFormat="false" ht="15" hidden="false" customHeight="true" outlineLevel="0" collapsed="false">
      <c r="A1042" s="10" t="s">
        <v>340</v>
      </c>
      <c r="B1042" s="11" t="n">
        <v>45493</v>
      </c>
      <c r="C1042" s="10" t="s">
        <v>755</v>
      </c>
    </row>
    <row r="1043" customFormat="false" ht="15" hidden="false" customHeight="true" outlineLevel="0" collapsed="false">
      <c r="A1043" s="10" t="s">
        <v>340</v>
      </c>
      <c r="B1043" s="11" t="n">
        <v>45494</v>
      </c>
      <c r="C1043" s="10" t="s">
        <v>755</v>
      </c>
    </row>
    <row r="1044" customFormat="false" ht="15" hidden="false" customHeight="true" outlineLevel="0" collapsed="false">
      <c r="A1044" s="10" t="s">
        <v>340</v>
      </c>
      <c r="B1044" s="11" t="n">
        <v>45497</v>
      </c>
      <c r="C1044" s="10" t="s">
        <v>755</v>
      </c>
    </row>
    <row r="1045" customFormat="false" ht="15" hidden="false" customHeight="true" outlineLevel="0" collapsed="false">
      <c r="A1045" s="10" t="s">
        <v>340</v>
      </c>
      <c r="B1045" s="11" t="n">
        <v>45498</v>
      </c>
      <c r="C1045" s="10" t="s">
        <v>755</v>
      </c>
    </row>
    <row r="1046" customFormat="false" ht="15" hidden="false" customHeight="true" outlineLevel="0" collapsed="false">
      <c r="A1046" s="10" t="s">
        <v>340</v>
      </c>
      <c r="B1046" s="11" t="n">
        <v>45499</v>
      </c>
      <c r="C1046" s="10" t="s">
        <v>755</v>
      </c>
    </row>
    <row r="1047" customFormat="false" ht="15" hidden="false" customHeight="true" outlineLevel="0" collapsed="false">
      <c r="A1047" s="10" t="s">
        <v>340</v>
      </c>
      <c r="B1047" s="11" t="n">
        <v>45500</v>
      </c>
      <c r="C1047" s="10" t="s">
        <v>755</v>
      </c>
    </row>
    <row r="1048" customFormat="false" ht="15" hidden="false" customHeight="true" outlineLevel="0" collapsed="false">
      <c r="A1048" s="10" t="s">
        <v>340</v>
      </c>
      <c r="B1048" s="11" t="n">
        <v>45501</v>
      </c>
      <c r="C1048" s="10" t="s">
        <v>755</v>
      </c>
    </row>
    <row r="1049" customFormat="false" ht="15" hidden="false" customHeight="true" outlineLevel="0" collapsed="false">
      <c r="A1049" s="10" t="s">
        <v>340</v>
      </c>
      <c r="B1049" s="11" t="n">
        <v>45503</v>
      </c>
      <c r="C1049" s="10" t="s">
        <v>755</v>
      </c>
    </row>
    <row r="1050" customFormat="false" ht="15" hidden="false" customHeight="true" outlineLevel="0" collapsed="false">
      <c r="A1050" s="10" t="s">
        <v>340</v>
      </c>
      <c r="B1050" s="11" t="n">
        <v>45505</v>
      </c>
      <c r="C1050" s="10" t="s">
        <v>755</v>
      </c>
    </row>
    <row r="1051" customFormat="false" ht="15" hidden="false" customHeight="true" outlineLevel="0" collapsed="false">
      <c r="A1051" s="10" t="s">
        <v>340</v>
      </c>
      <c r="B1051" s="11" t="n">
        <v>45506</v>
      </c>
      <c r="C1051" s="10" t="s">
        <v>755</v>
      </c>
    </row>
    <row r="1052" customFormat="false" ht="15" hidden="false" customHeight="true" outlineLevel="0" collapsed="false">
      <c r="A1052" s="10" t="s">
        <v>340</v>
      </c>
      <c r="B1052" s="11" t="n">
        <v>45507</v>
      </c>
      <c r="C1052" s="10" t="s">
        <v>755</v>
      </c>
    </row>
    <row r="1053" customFormat="false" ht="15" hidden="false" customHeight="true" outlineLevel="0" collapsed="false">
      <c r="A1053" s="10" t="s">
        <v>340</v>
      </c>
      <c r="B1053" s="11" t="n">
        <v>45508</v>
      </c>
      <c r="C1053" s="10" t="s">
        <v>755</v>
      </c>
    </row>
    <row r="1054" customFormat="false" ht="15" hidden="false" customHeight="true" outlineLevel="0" collapsed="false">
      <c r="A1054" s="10" t="s">
        <v>340</v>
      </c>
      <c r="B1054" s="11" t="n">
        <v>45510</v>
      </c>
      <c r="C1054" s="10" t="s">
        <v>755</v>
      </c>
    </row>
    <row r="1055" customFormat="false" ht="15" hidden="false" customHeight="true" outlineLevel="0" collapsed="false">
      <c r="A1055" s="10" t="s">
        <v>340</v>
      </c>
      <c r="B1055" s="11" t="n">
        <v>45513</v>
      </c>
      <c r="C1055" s="10" t="s">
        <v>755</v>
      </c>
    </row>
    <row r="1056" customFormat="false" ht="15" hidden="false" customHeight="true" outlineLevel="0" collapsed="false">
      <c r="A1056" s="10" t="s">
        <v>340</v>
      </c>
      <c r="B1056" s="11" t="n">
        <v>45514</v>
      </c>
      <c r="C1056" s="10" t="s">
        <v>755</v>
      </c>
    </row>
    <row r="1057" customFormat="false" ht="15" hidden="false" customHeight="true" outlineLevel="0" collapsed="false">
      <c r="A1057" s="10" t="s">
        <v>340</v>
      </c>
      <c r="B1057" s="11" t="n">
        <v>45518</v>
      </c>
      <c r="C1057" s="10" t="s">
        <v>755</v>
      </c>
    </row>
    <row r="1058" customFormat="false" ht="15" hidden="false" customHeight="true" outlineLevel="0" collapsed="false">
      <c r="A1058" s="10" t="s">
        <v>340</v>
      </c>
      <c r="B1058" s="11" t="n">
        <v>45520</v>
      </c>
      <c r="C1058" s="10" t="s">
        <v>755</v>
      </c>
    </row>
    <row r="1059" customFormat="false" ht="15" hidden="false" customHeight="true" outlineLevel="0" collapsed="false">
      <c r="A1059" s="10" t="s">
        <v>340</v>
      </c>
      <c r="B1059" s="11" t="n">
        <v>45521</v>
      </c>
      <c r="C1059" s="10" t="s">
        <v>755</v>
      </c>
    </row>
    <row r="1060" customFormat="false" ht="15" hidden="false" customHeight="true" outlineLevel="0" collapsed="false">
      <c r="A1060" s="10" t="s">
        <v>340</v>
      </c>
      <c r="B1060" s="11" t="n">
        <v>45522</v>
      </c>
      <c r="C1060" s="10" t="s">
        <v>755</v>
      </c>
    </row>
    <row r="1061" customFormat="false" ht="15" hidden="false" customHeight="true" outlineLevel="0" collapsed="false">
      <c r="A1061" s="10" t="s">
        <v>340</v>
      </c>
      <c r="B1061" s="11" t="n">
        <v>45525</v>
      </c>
      <c r="C1061" s="10" t="s">
        <v>755</v>
      </c>
    </row>
    <row r="1062" customFormat="false" ht="15" hidden="false" customHeight="true" outlineLevel="0" collapsed="false">
      <c r="A1062" s="10" t="s">
        <v>340</v>
      </c>
      <c r="B1062" s="11" t="n">
        <v>45526</v>
      </c>
      <c r="C1062" s="10" t="s">
        <v>755</v>
      </c>
    </row>
    <row r="1063" customFormat="false" ht="15" hidden="false" customHeight="true" outlineLevel="0" collapsed="false">
      <c r="A1063" s="10" t="s">
        <v>340</v>
      </c>
      <c r="B1063" s="11" t="n">
        <v>45527</v>
      </c>
      <c r="C1063" s="10" t="s">
        <v>755</v>
      </c>
    </row>
    <row r="1064" customFormat="false" ht="15" hidden="false" customHeight="true" outlineLevel="0" collapsed="false">
      <c r="A1064" s="10" t="s">
        <v>340</v>
      </c>
      <c r="B1064" s="11" t="n">
        <v>45528</v>
      </c>
      <c r="C1064" s="10" t="s">
        <v>755</v>
      </c>
    </row>
    <row r="1065" customFormat="false" ht="15" hidden="false" customHeight="true" outlineLevel="0" collapsed="false">
      <c r="A1065" s="10" t="s">
        <v>340</v>
      </c>
      <c r="B1065" s="11" t="n">
        <v>45529</v>
      </c>
      <c r="C1065" s="10" t="s">
        <v>755</v>
      </c>
    </row>
    <row r="1066" customFormat="false" ht="15" hidden="false" customHeight="true" outlineLevel="0" collapsed="false">
      <c r="A1066" s="10" t="s">
        <v>340</v>
      </c>
      <c r="B1066" s="11" t="n">
        <v>45532</v>
      </c>
      <c r="C1066" s="10" t="s">
        <v>755</v>
      </c>
    </row>
    <row r="1067" customFormat="false" ht="15" hidden="false" customHeight="true" outlineLevel="0" collapsed="false">
      <c r="A1067" s="10" t="s">
        <v>340</v>
      </c>
      <c r="B1067" s="11" t="n">
        <v>45533</v>
      </c>
      <c r="C1067" s="10" t="s">
        <v>755</v>
      </c>
    </row>
    <row r="1068" customFormat="false" ht="15" hidden="false" customHeight="true" outlineLevel="0" collapsed="false">
      <c r="A1068" s="10" t="s">
        <v>340</v>
      </c>
      <c r="B1068" s="11" t="n">
        <v>45534</v>
      </c>
      <c r="C1068" s="10" t="s">
        <v>755</v>
      </c>
    </row>
    <row r="1069" customFormat="false" ht="15" hidden="false" customHeight="true" outlineLevel="0" collapsed="false">
      <c r="A1069" s="10" t="s">
        <v>340</v>
      </c>
      <c r="B1069" s="11" t="n">
        <v>45535</v>
      </c>
      <c r="C1069" s="10" t="s">
        <v>755</v>
      </c>
    </row>
    <row r="1070" customFormat="false" ht="15" hidden="false" customHeight="true" outlineLevel="0" collapsed="false">
      <c r="A1070" s="10" t="s">
        <v>343</v>
      </c>
      <c r="B1070" s="11" t="n">
        <v>45489</v>
      </c>
      <c r="C1070" s="10" t="s">
        <v>755</v>
      </c>
    </row>
    <row r="1071" customFormat="false" ht="15" hidden="false" customHeight="true" outlineLevel="0" collapsed="false">
      <c r="A1071" s="10" t="s">
        <v>343</v>
      </c>
      <c r="B1071" s="11" t="n">
        <v>45492</v>
      </c>
      <c r="C1071" s="10" t="s">
        <v>755</v>
      </c>
    </row>
    <row r="1072" customFormat="false" ht="15" hidden="false" customHeight="true" outlineLevel="0" collapsed="false">
      <c r="A1072" s="10" t="s">
        <v>343</v>
      </c>
      <c r="B1072" s="11" t="n">
        <v>45493</v>
      </c>
      <c r="C1072" s="10" t="s">
        <v>755</v>
      </c>
    </row>
    <row r="1073" customFormat="false" ht="15" hidden="false" customHeight="true" outlineLevel="0" collapsed="false">
      <c r="A1073" s="10" t="s">
        <v>343</v>
      </c>
      <c r="B1073" s="11" t="n">
        <v>45494</v>
      </c>
      <c r="C1073" s="10" t="s">
        <v>755</v>
      </c>
    </row>
    <row r="1074" customFormat="false" ht="15" hidden="false" customHeight="true" outlineLevel="0" collapsed="false">
      <c r="A1074" s="10" t="s">
        <v>343</v>
      </c>
      <c r="B1074" s="11" t="n">
        <v>45499</v>
      </c>
      <c r="C1074" s="10" t="s">
        <v>755</v>
      </c>
    </row>
    <row r="1075" customFormat="false" ht="15" hidden="false" customHeight="true" outlineLevel="0" collapsed="false">
      <c r="A1075" s="10" t="s">
        <v>343</v>
      </c>
      <c r="B1075" s="11" t="n">
        <v>45500</v>
      </c>
      <c r="C1075" s="10" t="s">
        <v>755</v>
      </c>
    </row>
    <row r="1076" customFormat="false" ht="15" hidden="false" customHeight="true" outlineLevel="0" collapsed="false">
      <c r="A1076" s="10" t="s">
        <v>343</v>
      </c>
      <c r="B1076" s="11" t="n">
        <v>45501</v>
      </c>
      <c r="C1076" s="10" t="s">
        <v>755</v>
      </c>
    </row>
    <row r="1077" customFormat="false" ht="15" hidden="false" customHeight="true" outlineLevel="0" collapsed="false">
      <c r="A1077" s="10" t="s">
        <v>343</v>
      </c>
      <c r="B1077" s="11" t="n">
        <v>45506</v>
      </c>
      <c r="C1077" s="10" t="s">
        <v>755</v>
      </c>
    </row>
    <row r="1078" customFormat="false" ht="15" hidden="false" customHeight="true" outlineLevel="0" collapsed="false">
      <c r="A1078" s="10" t="s">
        <v>343</v>
      </c>
      <c r="B1078" s="11" t="n">
        <v>45507</v>
      </c>
      <c r="C1078" s="10" t="s">
        <v>755</v>
      </c>
    </row>
    <row r="1079" customFormat="false" ht="15" hidden="false" customHeight="true" outlineLevel="0" collapsed="false">
      <c r="A1079" s="10" t="s">
        <v>343</v>
      </c>
      <c r="B1079" s="11" t="n">
        <v>45514</v>
      </c>
      <c r="C1079" s="10" t="s">
        <v>755</v>
      </c>
    </row>
    <row r="1080" customFormat="false" ht="15" hidden="false" customHeight="true" outlineLevel="0" collapsed="false">
      <c r="A1080" s="10" t="s">
        <v>343</v>
      </c>
      <c r="B1080" s="11" t="n">
        <v>45521</v>
      </c>
      <c r="C1080" s="10" t="s">
        <v>755</v>
      </c>
    </row>
    <row r="1081" customFormat="false" ht="15" hidden="false" customHeight="true" outlineLevel="0" collapsed="false">
      <c r="A1081" s="10" t="s">
        <v>343</v>
      </c>
      <c r="B1081" s="11" t="n">
        <v>45528</v>
      </c>
      <c r="C1081" s="10" t="s">
        <v>755</v>
      </c>
    </row>
    <row r="1082" customFormat="false" ht="15" hidden="false" customHeight="true" outlineLevel="0" collapsed="false">
      <c r="A1082" s="10" t="s">
        <v>343</v>
      </c>
      <c r="B1082" s="11" t="n">
        <v>45534</v>
      </c>
      <c r="C1082" s="10" t="s">
        <v>755</v>
      </c>
    </row>
    <row r="1083" customFormat="false" ht="15" hidden="false" customHeight="true" outlineLevel="0" collapsed="false">
      <c r="A1083" s="10" t="s">
        <v>346</v>
      </c>
      <c r="B1083" s="11" t="n">
        <v>45492</v>
      </c>
      <c r="C1083" s="10" t="s">
        <v>755</v>
      </c>
    </row>
    <row r="1084" customFormat="false" ht="15" hidden="false" customHeight="true" outlineLevel="0" collapsed="false">
      <c r="A1084" s="10" t="s">
        <v>346</v>
      </c>
      <c r="B1084" s="11" t="n">
        <v>45493</v>
      </c>
      <c r="C1084" s="10" t="s">
        <v>755</v>
      </c>
    </row>
    <row r="1085" customFormat="false" ht="15" hidden="false" customHeight="true" outlineLevel="0" collapsed="false">
      <c r="A1085" s="10" t="s">
        <v>346</v>
      </c>
      <c r="B1085" s="11" t="n">
        <v>45494</v>
      </c>
      <c r="C1085" s="10" t="s">
        <v>755</v>
      </c>
    </row>
    <row r="1086" customFormat="false" ht="15" hidden="false" customHeight="true" outlineLevel="0" collapsed="false">
      <c r="A1086" s="10" t="s">
        <v>346</v>
      </c>
      <c r="B1086" s="11" t="n">
        <v>45499</v>
      </c>
      <c r="C1086" s="10" t="s">
        <v>755</v>
      </c>
    </row>
    <row r="1087" customFormat="false" ht="15" hidden="false" customHeight="true" outlineLevel="0" collapsed="false">
      <c r="A1087" s="10" t="s">
        <v>346</v>
      </c>
      <c r="B1087" s="11" t="n">
        <v>45500</v>
      </c>
      <c r="C1087" s="10" t="s">
        <v>755</v>
      </c>
    </row>
    <row r="1088" customFormat="false" ht="15" hidden="false" customHeight="true" outlineLevel="0" collapsed="false">
      <c r="A1088" s="10" t="s">
        <v>346</v>
      </c>
      <c r="B1088" s="11" t="n">
        <v>45501</v>
      </c>
      <c r="C1088" s="10" t="s">
        <v>755</v>
      </c>
    </row>
    <row r="1089" customFormat="false" ht="15" hidden="false" customHeight="true" outlineLevel="0" collapsed="false">
      <c r="A1089" s="10" t="s">
        <v>346</v>
      </c>
      <c r="B1089" s="11" t="n">
        <v>45505</v>
      </c>
      <c r="C1089" s="10" t="s">
        <v>755</v>
      </c>
    </row>
    <row r="1090" customFormat="false" ht="15" hidden="false" customHeight="true" outlineLevel="0" collapsed="false">
      <c r="A1090" s="10" t="s">
        <v>346</v>
      </c>
      <c r="B1090" s="11" t="n">
        <v>45506</v>
      </c>
      <c r="C1090" s="10" t="s">
        <v>755</v>
      </c>
    </row>
    <row r="1091" customFormat="false" ht="15" hidden="false" customHeight="true" outlineLevel="0" collapsed="false">
      <c r="A1091" s="10" t="s">
        <v>346</v>
      </c>
      <c r="B1091" s="11" t="n">
        <v>45507</v>
      </c>
      <c r="C1091" s="10" t="s">
        <v>755</v>
      </c>
    </row>
    <row r="1092" customFormat="false" ht="15" hidden="false" customHeight="true" outlineLevel="0" collapsed="false">
      <c r="A1092" s="10" t="s">
        <v>346</v>
      </c>
      <c r="B1092" s="11" t="n">
        <v>45512</v>
      </c>
      <c r="C1092" s="10" t="s">
        <v>755</v>
      </c>
    </row>
    <row r="1093" customFormat="false" ht="15" hidden="false" customHeight="true" outlineLevel="0" collapsed="false">
      <c r="A1093" s="10" t="s">
        <v>346</v>
      </c>
      <c r="B1093" s="11" t="n">
        <v>45513</v>
      </c>
      <c r="C1093" s="10" t="s">
        <v>755</v>
      </c>
    </row>
    <row r="1094" customFormat="false" ht="15" hidden="false" customHeight="true" outlineLevel="0" collapsed="false">
      <c r="A1094" s="10" t="s">
        <v>346</v>
      </c>
      <c r="B1094" s="11" t="n">
        <v>45514</v>
      </c>
      <c r="C1094" s="10" t="s">
        <v>755</v>
      </c>
    </row>
    <row r="1095" customFormat="false" ht="15" hidden="false" customHeight="true" outlineLevel="0" collapsed="false">
      <c r="A1095" s="10" t="s">
        <v>346</v>
      </c>
      <c r="B1095" s="11" t="n">
        <v>45515</v>
      </c>
      <c r="C1095" s="10" t="s">
        <v>755</v>
      </c>
    </row>
    <row r="1096" customFormat="false" ht="15" hidden="false" customHeight="true" outlineLevel="0" collapsed="false">
      <c r="A1096" s="10" t="s">
        <v>346</v>
      </c>
      <c r="B1096" s="11" t="n">
        <v>45520</v>
      </c>
      <c r="C1096" s="10" t="s">
        <v>755</v>
      </c>
    </row>
    <row r="1097" customFormat="false" ht="15" hidden="false" customHeight="true" outlineLevel="0" collapsed="false">
      <c r="A1097" s="10" t="s">
        <v>346</v>
      </c>
      <c r="B1097" s="11" t="n">
        <v>45521</v>
      </c>
      <c r="C1097" s="10" t="s">
        <v>755</v>
      </c>
    </row>
    <row r="1098" customFormat="false" ht="15" hidden="false" customHeight="true" outlineLevel="0" collapsed="false">
      <c r="A1098" s="10" t="s">
        <v>346</v>
      </c>
      <c r="B1098" s="11" t="n">
        <v>45524</v>
      </c>
      <c r="C1098" s="10" t="s">
        <v>755</v>
      </c>
    </row>
    <row r="1099" customFormat="false" ht="15" hidden="false" customHeight="true" outlineLevel="0" collapsed="false">
      <c r="A1099" s="10" t="s">
        <v>346</v>
      </c>
      <c r="B1099" s="11" t="n">
        <v>45525</v>
      </c>
      <c r="C1099" s="10" t="s">
        <v>755</v>
      </c>
    </row>
    <row r="1100" customFormat="false" ht="15" hidden="false" customHeight="true" outlineLevel="0" collapsed="false">
      <c r="A1100" s="10" t="s">
        <v>346</v>
      </c>
      <c r="B1100" s="11" t="n">
        <v>45526</v>
      </c>
      <c r="C1100" s="10" t="s">
        <v>755</v>
      </c>
    </row>
    <row r="1101" customFormat="false" ht="15" hidden="false" customHeight="true" outlineLevel="0" collapsed="false">
      <c r="A1101" s="10" t="s">
        <v>346</v>
      </c>
      <c r="B1101" s="11" t="n">
        <v>45527</v>
      </c>
      <c r="C1101" s="10" t="s">
        <v>755</v>
      </c>
    </row>
    <row r="1102" customFormat="false" ht="15" hidden="false" customHeight="true" outlineLevel="0" collapsed="false">
      <c r="A1102" s="10" t="s">
        <v>346</v>
      </c>
      <c r="B1102" s="11" t="n">
        <v>45528</v>
      </c>
      <c r="C1102" s="10" t="s">
        <v>755</v>
      </c>
    </row>
    <row r="1103" customFormat="false" ht="15" hidden="false" customHeight="true" outlineLevel="0" collapsed="false">
      <c r="A1103" s="10" t="s">
        <v>346</v>
      </c>
      <c r="B1103" s="11" t="n">
        <v>45529</v>
      </c>
      <c r="C1103" s="10" t="s">
        <v>755</v>
      </c>
    </row>
    <row r="1104" customFormat="false" ht="15" hidden="false" customHeight="true" outlineLevel="0" collapsed="false">
      <c r="A1104" s="10" t="s">
        <v>346</v>
      </c>
      <c r="B1104" s="11" t="n">
        <v>45534</v>
      </c>
      <c r="C1104" s="10" t="s">
        <v>755</v>
      </c>
    </row>
    <row r="1105" customFormat="false" ht="15" hidden="false" customHeight="true" outlineLevel="0" collapsed="false">
      <c r="A1105" s="10" t="s">
        <v>346</v>
      </c>
      <c r="B1105" s="11" t="n">
        <v>45535</v>
      </c>
      <c r="C1105" s="10" t="s">
        <v>755</v>
      </c>
    </row>
    <row r="1106" customFormat="false" ht="15" hidden="false" customHeight="true" outlineLevel="0" collapsed="false">
      <c r="A1106" s="10" t="s">
        <v>349</v>
      </c>
      <c r="B1106" s="11" t="n">
        <v>45376</v>
      </c>
      <c r="C1106" s="10" t="s">
        <v>755</v>
      </c>
    </row>
    <row r="1107" customFormat="false" ht="15" hidden="false" customHeight="true" outlineLevel="0" collapsed="false">
      <c r="A1107" s="10" t="s">
        <v>349</v>
      </c>
      <c r="B1107" s="11" t="n">
        <v>45377</v>
      </c>
      <c r="C1107" s="10" t="s">
        <v>755</v>
      </c>
    </row>
    <row r="1108" customFormat="false" ht="15" hidden="false" customHeight="true" outlineLevel="0" collapsed="false">
      <c r="A1108" s="10" t="s">
        <v>349</v>
      </c>
      <c r="B1108" s="11" t="n">
        <v>45378</v>
      </c>
      <c r="C1108" s="10" t="s">
        <v>755</v>
      </c>
    </row>
    <row r="1109" customFormat="false" ht="15" hidden="false" customHeight="true" outlineLevel="0" collapsed="false">
      <c r="A1109" s="10" t="s">
        <v>349</v>
      </c>
      <c r="B1109" s="11" t="n">
        <v>45379</v>
      </c>
      <c r="C1109" s="10" t="s">
        <v>755</v>
      </c>
    </row>
    <row r="1110" customFormat="false" ht="15" hidden="false" customHeight="true" outlineLevel="0" collapsed="false">
      <c r="A1110" s="10" t="s">
        <v>349</v>
      </c>
      <c r="B1110" s="11" t="n">
        <v>45380</v>
      </c>
      <c r="C1110" s="10" t="s">
        <v>755</v>
      </c>
    </row>
    <row r="1111" customFormat="false" ht="15" hidden="false" customHeight="true" outlineLevel="0" collapsed="false">
      <c r="A1111" s="10" t="s">
        <v>354</v>
      </c>
      <c r="B1111" s="11" t="n">
        <v>45376</v>
      </c>
      <c r="C1111" s="10" t="s">
        <v>755</v>
      </c>
    </row>
    <row r="1112" customFormat="false" ht="15" hidden="false" customHeight="true" outlineLevel="0" collapsed="false">
      <c r="A1112" s="10" t="s">
        <v>354</v>
      </c>
      <c r="B1112" s="11" t="n">
        <v>45377</v>
      </c>
      <c r="C1112" s="10" t="s">
        <v>755</v>
      </c>
    </row>
    <row r="1113" customFormat="false" ht="15" hidden="false" customHeight="true" outlineLevel="0" collapsed="false">
      <c r="A1113" s="10" t="s">
        <v>354</v>
      </c>
      <c r="B1113" s="11" t="n">
        <v>45378</v>
      </c>
      <c r="C1113" s="10" t="s">
        <v>755</v>
      </c>
    </row>
    <row r="1114" customFormat="false" ht="15" hidden="false" customHeight="true" outlineLevel="0" collapsed="false">
      <c r="A1114" s="10" t="s">
        <v>354</v>
      </c>
      <c r="B1114" s="11" t="n">
        <v>45379</v>
      </c>
      <c r="C1114" s="10" t="s">
        <v>755</v>
      </c>
    </row>
    <row r="1115" customFormat="false" ht="15" hidden="false" customHeight="true" outlineLevel="0" collapsed="false">
      <c r="A1115" s="10" t="s">
        <v>354</v>
      </c>
      <c r="B1115" s="11" t="n">
        <v>45380</v>
      </c>
      <c r="C1115" s="10" t="s">
        <v>755</v>
      </c>
    </row>
    <row r="1116" customFormat="false" ht="15" hidden="false" customHeight="true" outlineLevel="0" collapsed="false">
      <c r="A1116" s="10" t="s">
        <v>356</v>
      </c>
      <c r="B1116" s="11" t="n">
        <v>45376</v>
      </c>
      <c r="C1116" s="10" t="s">
        <v>755</v>
      </c>
    </row>
    <row r="1117" customFormat="false" ht="15" hidden="false" customHeight="true" outlineLevel="0" collapsed="false">
      <c r="A1117" s="10" t="s">
        <v>356</v>
      </c>
      <c r="B1117" s="11" t="n">
        <v>45377</v>
      </c>
      <c r="C1117" s="10" t="s">
        <v>755</v>
      </c>
    </row>
    <row r="1118" customFormat="false" ht="15" hidden="false" customHeight="true" outlineLevel="0" collapsed="false">
      <c r="A1118" s="10" t="s">
        <v>356</v>
      </c>
      <c r="B1118" s="11" t="n">
        <v>45378</v>
      </c>
      <c r="C1118" s="10" t="s">
        <v>755</v>
      </c>
    </row>
    <row r="1119" customFormat="false" ht="15" hidden="false" customHeight="true" outlineLevel="0" collapsed="false">
      <c r="A1119" s="10" t="s">
        <v>356</v>
      </c>
      <c r="B1119" s="11" t="n">
        <v>45379</v>
      </c>
      <c r="C1119" s="10" t="s">
        <v>755</v>
      </c>
    </row>
    <row r="1120" customFormat="false" ht="15" hidden="false" customHeight="true" outlineLevel="0" collapsed="false">
      <c r="A1120" s="10" t="s">
        <v>356</v>
      </c>
      <c r="B1120" s="11" t="n">
        <v>45380</v>
      </c>
      <c r="C1120" s="10" t="s">
        <v>755</v>
      </c>
    </row>
    <row r="1121" customFormat="false" ht="15" hidden="false" customHeight="true" outlineLevel="0" collapsed="false">
      <c r="A1121" s="10" t="s">
        <v>357</v>
      </c>
      <c r="B1121" s="11" t="n">
        <v>45355</v>
      </c>
      <c r="C1121" s="10" t="s">
        <v>755</v>
      </c>
    </row>
    <row r="1122" customFormat="false" ht="15" hidden="false" customHeight="true" outlineLevel="0" collapsed="false">
      <c r="A1122" s="10" t="s">
        <v>357</v>
      </c>
      <c r="B1122" s="11" t="n">
        <v>45356</v>
      </c>
      <c r="C1122" s="10" t="s">
        <v>755</v>
      </c>
    </row>
    <row r="1123" customFormat="false" ht="15" hidden="false" customHeight="true" outlineLevel="0" collapsed="false">
      <c r="A1123" s="10" t="s">
        <v>357</v>
      </c>
      <c r="B1123" s="11" t="n">
        <v>45357</v>
      </c>
      <c r="C1123" s="10" t="s">
        <v>755</v>
      </c>
    </row>
    <row r="1124" customFormat="false" ht="15" hidden="false" customHeight="true" outlineLevel="0" collapsed="false">
      <c r="A1124" s="10" t="s">
        <v>357</v>
      </c>
      <c r="B1124" s="11" t="n">
        <v>45358</v>
      </c>
      <c r="C1124" s="10" t="s">
        <v>755</v>
      </c>
    </row>
    <row r="1125" customFormat="false" ht="15" hidden="false" customHeight="true" outlineLevel="0" collapsed="false">
      <c r="A1125" s="10" t="s">
        <v>357</v>
      </c>
      <c r="B1125" s="11" t="n">
        <v>45359</v>
      </c>
      <c r="C1125" s="10" t="s">
        <v>755</v>
      </c>
    </row>
    <row r="1126" customFormat="false" ht="15" hidden="false" customHeight="true" outlineLevel="0" collapsed="false">
      <c r="A1126" s="10" t="s">
        <v>357</v>
      </c>
      <c r="B1126" s="11" t="n">
        <v>45362</v>
      </c>
      <c r="C1126" s="10" t="s">
        <v>755</v>
      </c>
    </row>
    <row r="1127" customFormat="false" ht="15" hidden="false" customHeight="true" outlineLevel="0" collapsed="false">
      <c r="A1127" s="10" t="s">
        <v>357</v>
      </c>
      <c r="B1127" s="11" t="n">
        <v>45363</v>
      </c>
      <c r="C1127" s="10" t="s">
        <v>755</v>
      </c>
    </row>
    <row r="1128" customFormat="false" ht="15" hidden="false" customHeight="true" outlineLevel="0" collapsed="false">
      <c r="A1128" s="10" t="s">
        <v>357</v>
      </c>
      <c r="B1128" s="11" t="n">
        <v>45364</v>
      </c>
      <c r="C1128" s="10" t="s">
        <v>755</v>
      </c>
    </row>
    <row r="1129" customFormat="false" ht="15" hidden="false" customHeight="true" outlineLevel="0" collapsed="false">
      <c r="A1129" s="10" t="s">
        <v>357</v>
      </c>
      <c r="B1129" s="11" t="n">
        <v>45365</v>
      </c>
      <c r="C1129" s="10" t="s">
        <v>755</v>
      </c>
    </row>
    <row r="1130" customFormat="false" ht="15" hidden="false" customHeight="true" outlineLevel="0" collapsed="false">
      <c r="A1130" s="10" t="s">
        <v>357</v>
      </c>
      <c r="B1130" s="11" t="n">
        <v>45366</v>
      </c>
      <c r="C1130" s="10" t="s">
        <v>755</v>
      </c>
    </row>
    <row r="1131" customFormat="false" ht="15" hidden="false" customHeight="true" outlineLevel="0" collapsed="false">
      <c r="A1131" s="10" t="s">
        <v>360</v>
      </c>
      <c r="B1131" s="11" t="n">
        <v>45355</v>
      </c>
      <c r="C1131" s="10" t="s">
        <v>755</v>
      </c>
    </row>
    <row r="1132" customFormat="false" ht="15" hidden="false" customHeight="true" outlineLevel="0" collapsed="false">
      <c r="A1132" s="10" t="s">
        <v>360</v>
      </c>
      <c r="B1132" s="11" t="n">
        <v>45356</v>
      </c>
      <c r="C1132" s="10" t="s">
        <v>755</v>
      </c>
    </row>
    <row r="1133" customFormat="false" ht="15" hidden="false" customHeight="true" outlineLevel="0" collapsed="false">
      <c r="A1133" s="10" t="s">
        <v>360</v>
      </c>
      <c r="B1133" s="11" t="n">
        <v>45357</v>
      </c>
      <c r="C1133" s="10" t="s">
        <v>755</v>
      </c>
    </row>
    <row r="1134" customFormat="false" ht="15" hidden="false" customHeight="true" outlineLevel="0" collapsed="false">
      <c r="A1134" s="10" t="s">
        <v>360</v>
      </c>
      <c r="B1134" s="11" t="n">
        <v>45358</v>
      </c>
      <c r="C1134" s="10" t="s">
        <v>755</v>
      </c>
    </row>
    <row r="1135" customFormat="false" ht="15" hidden="false" customHeight="true" outlineLevel="0" collapsed="false">
      <c r="A1135" s="10" t="s">
        <v>360</v>
      </c>
      <c r="B1135" s="11" t="n">
        <v>45359</v>
      </c>
      <c r="C1135" s="10" t="s">
        <v>755</v>
      </c>
    </row>
    <row r="1136" customFormat="false" ht="15" hidden="false" customHeight="true" outlineLevel="0" collapsed="false">
      <c r="A1136" s="10" t="s">
        <v>360</v>
      </c>
      <c r="B1136" s="11" t="n">
        <v>45362</v>
      </c>
      <c r="C1136" s="10" t="s">
        <v>755</v>
      </c>
    </row>
    <row r="1137" customFormat="false" ht="15" hidden="false" customHeight="true" outlineLevel="0" collapsed="false">
      <c r="A1137" s="10" t="s">
        <v>360</v>
      </c>
      <c r="B1137" s="11" t="n">
        <v>45363</v>
      </c>
      <c r="C1137" s="10" t="s">
        <v>755</v>
      </c>
    </row>
    <row r="1138" customFormat="false" ht="15" hidden="false" customHeight="true" outlineLevel="0" collapsed="false">
      <c r="A1138" s="10" t="s">
        <v>360</v>
      </c>
      <c r="B1138" s="11" t="n">
        <v>45364</v>
      </c>
      <c r="C1138" s="10" t="s">
        <v>755</v>
      </c>
    </row>
    <row r="1139" customFormat="false" ht="15" hidden="false" customHeight="true" outlineLevel="0" collapsed="false">
      <c r="A1139" s="10" t="s">
        <v>360</v>
      </c>
      <c r="B1139" s="11" t="n">
        <v>45365</v>
      </c>
      <c r="C1139" s="10" t="s">
        <v>755</v>
      </c>
    </row>
    <row r="1140" customFormat="false" ht="15" hidden="false" customHeight="true" outlineLevel="0" collapsed="false">
      <c r="A1140" s="10" t="s">
        <v>360</v>
      </c>
      <c r="B1140" s="11" t="n">
        <v>45366</v>
      </c>
      <c r="C1140" s="10" t="s">
        <v>755</v>
      </c>
    </row>
    <row r="1141" customFormat="false" ht="15" hidden="false" customHeight="true" outlineLevel="0" collapsed="false">
      <c r="A1141" s="10" t="s">
        <v>362</v>
      </c>
      <c r="B1141" s="11" t="n">
        <v>45355</v>
      </c>
      <c r="C1141" s="10" t="s">
        <v>755</v>
      </c>
    </row>
    <row r="1142" customFormat="false" ht="15" hidden="false" customHeight="true" outlineLevel="0" collapsed="false">
      <c r="A1142" s="10" t="s">
        <v>362</v>
      </c>
      <c r="B1142" s="11" t="n">
        <v>45356</v>
      </c>
      <c r="C1142" s="10" t="s">
        <v>755</v>
      </c>
    </row>
    <row r="1143" customFormat="false" ht="15" hidden="false" customHeight="true" outlineLevel="0" collapsed="false">
      <c r="A1143" s="10" t="s">
        <v>362</v>
      </c>
      <c r="B1143" s="11" t="n">
        <v>45357</v>
      </c>
      <c r="C1143" s="10" t="s">
        <v>755</v>
      </c>
    </row>
    <row r="1144" customFormat="false" ht="15" hidden="false" customHeight="true" outlineLevel="0" collapsed="false">
      <c r="A1144" s="10" t="s">
        <v>362</v>
      </c>
      <c r="B1144" s="11" t="n">
        <v>45358</v>
      </c>
      <c r="C1144" s="10" t="s">
        <v>755</v>
      </c>
    </row>
    <row r="1145" customFormat="false" ht="15" hidden="false" customHeight="true" outlineLevel="0" collapsed="false">
      <c r="A1145" s="10" t="s">
        <v>362</v>
      </c>
      <c r="B1145" s="11" t="n">
        <v>45359</v>
      </c>
      <c r="C1145" s="10" t="s">
        <v>755</v>
      </c>
    </row>
    <row r="1146" customFormat="false" ht="15" hidden="false" customHeight="true" outlineLevel="0" collapsed="false">
      <c r="A1146" s="10" t="s">
        <v>362</v>
      </c>
      <c r="B1146" s="11" t="n">
        <v>45362</v>
      </c>
      <c r="C1146" s="10" t="s">
        <v>755</v>
      </c>
    </row>
    <row r="1147" customFormat="false" ht="15" hidden="false" customHeight="true" outlineLevel="0" collapsed="false">
      <c r="A1147" s="10" t="s">
        <v>362</v>
      </c>
      <c r="B1147" s="11" t="n">
        <v>45363</v>
      </c>
      <c r="C1147" s="10" t="s">
        <v>755</v>
      </c>
    </row>
    <row r="1148" customFormat="false" ht="15" hidden="false" customHeight="true" outlineLevel="0" collapsed="false">
      <c r="A1148" s="10" t="s">
        <v>362</v>
      </c>
      <c r="B1148" s="11" t="n">
        <v>45364</v>
      </c>
      <c r="C1148" s="10" t="s">
        <v>755</v>
      </c>
    </row>
    <row r="1149" customFormat="false" ht="15" hidden="false" customHeight="true" outlineLevel="0" collapsed="false">
      <c r="A1149" s="10" t="s">
        <v>362</v>
      </c>
      <c r="B1149" s="11" t="n">
        <v>45365</v>
      </c>
      <c r="C1149" s="10" t="s">
        <v>755</v>
      </c>
    </row>
    <row r="1150" customFormat="false" ht="15" hidden="false" customHeight="true" outlineLevel="0" collapsed="false">
      <c r="A1150" s="10" t="s">
        <v>362</v>
      </c>
      <c r="B1150" s="11" t="n">
        <v>45366</v>
      </c>
      <c r="C1150" s="10" t="s">
        <v>755</v>
      </c>
    </row>
    <row r="1151" customFormat="false" ht="15" hidden="false" customHeight="true" outlineLevel="0" collapsed="false">
      <c r="A1151" s="10" t="s">
        <v>364</v>
      </c>
      <c r="B1151" s="11" t="n">
        <v>45432</v>
      </c>
      <c r="C1151" s="10" t="s">
        <v>755</v>
      </c>
    </row>
    <row r="1152" customFormat="false" ht="15" hidden="false" customHeight="true" outlineLevel="0" collapsed="false">
      <c r="A1152" s="10" t="s">
        <v>364</v>
      </c>
      <c r="B1152" s="11" t="n">
        <v>45433</v>
      </c>
      <c r="C1152" s="10" t="s">
        <v>755</v>
      </c>
    </row>
    <row r="1153" customFormat="false" ht="15" hidden="false" customHeight="true" outlineLevel="0" collapsed="false">
      <c r="A1153" s="10" t="s">
        <v>364</v>
      </c>
      <c r="B1153" s="11" t="n">
        <v>45434</v>
      </c>
      <c r="C1153" s="10" t="s">
        <v>755</v>
      </c>
    </row>
    <row r="1154" customFormat="false" ht="15" hidden="false" customHeight="true" outlineLevel="0" collapsed="false">
      <c r="A1154" s="10" t="s">
        <v>364</v>
      </c>
      <c r="B1154" s="11" t="n">
        <v>45435</v>
      </c>
      <c r="C1154" s="10" t="s">
        <v>755</v>
      </c>
    </row>
    <row r="1155" customFormat="false" ht="15" hidden="false" customHeight="true" outlineLevel="0" collapsed="false">
      <c r="A1155" s="10" t="s">
        <v>364</v>
      </c>
      <c r="B1155" s="11" t="n">
        <v>45436</v>
      </c>
      <c r="C1155" s="10" t="s">
        <v>755</v>
      </c>
    </row>
    <row r="1156" customFormat="false" ht="15" hidden="false" customHeight="true" outlineLevel="0" collapsed="false">
      <c r="A1156" s="10" t="s">
        <v>364</v>
      </c>
      <c r="B1156" s="11" t="n">
        <v>45439</v>
      </c>
      <c r="C1156" s="10" t="s">
        <v>755</v>
      </c>
    </row>
    <row r="1157" customFormat="false" ht="15" hidden="false" customHeight="true" outlineLevel="0" collapsed="false">
      <c r="A1157" s="10" t="s">
        <v>364</v>
      </c>
      <c r="B1157" s="11" t="n">
        <v>45440</v>
      </c>
      <c r="C1157" s="10" t="s">
        <v>755</v>
      </c>
    </row>
    <row r="1158" customFormat="false" ht="15" hidden="false" customHeight="true" outlineLevel="0" collapsed="false">
      <c r="A1158" s="10" t="s">
        <v>364</v>
      </c>
      <c r="B1158" s="11" t="n">
        <v>45441</v>
      </c>
      <c r="C1158" s="10" t="s">
        <v>755</v>
      </c>
    </row>
    <row r="1159" customFormat="false" ht="15" hidden="false" customHeight="true" outlineLevel="0" collapsed="false">
      <c r="A1159" s="10" t="s">
        <v>364</v>
      </c>
      <c r="B1159" s="11" t="n">
        <v>45442</v>
      </c>
      <c r="C1159" s="10" t="s">
        <v>755</v>
      </c>
    </row>
    <row r="1160" customFormat="false" ht="15" hidden="false" customHeight="true" outlineLevel="0" collapsed="false">
      <c r="A1160" s="10" t="s">
        <v>364</v>
      </c>
      <c r="B1160" s="11" t="n">
        <v>45443</v>
      </c>
      <c r="C1160" s="10" t="s">
        <v>755</v>
      </c>
    </row>
    <row r="1161" customFormat="false" ht="15" hidden="false" customHeight="true" outlineLevel="0" collapsed="false">
      <c r="A1161" s="10" t="s">
        <v>369</v>
      </c>
      <c r="B1161" s="11" t="n">
        <v>45432</v>
      </c>
      <c r="C1161" s="10" t="s">
        <v>755</v>
      </c>
    </row>
    <row r="1162" customFormat="false" ht="15" hidden="false" customHeight="true" outlineLevel="0" collapsed="false">
      <c r="A1162" s="10" t="s">
        <v>369</v>
      </c>
      <c r="B1162" s="11" t="n">
        <v>45433</v>
      </c>
      <c r="C1162" s="10" t="s">
        <v>755</v>
      </c>
    </row>
    <row r="1163" customFormat="false" ht="15" hidden="false" customHeight="true" outlineLevel="0" collapsed="false">
      <c r="A1163" s="10" t="s">
        <v>369</v>
      </c>
      <c r="B1163" s="11" t="n">
        <v>45434</v>
      </c>
      <c r="C1163" s="10" t="s">
        <v>755</v>
      </c>
    </row>
    <row r="1164" customFormat="false" ht="15" hidden="false" customHeight="true" outlineLevel="0" collapsed="false">
      <c r="A1164" s="10" t="s">
        <v>369</v>
      </c>
      <c r="B1164" s="11" t="n">
        <v>45435</v>
      </c>
      <c r="C1164" s="10" t="s">
        <v>755</v>
      </c>
    </row>
    <row r="1165" customFormat="false" ht="15" hidden="false" customHeight="true" outlineLevel="0" collapsed="false">
      <c r="A1165" s="10" t="s">
        <v>369</v>
      </c>
      <c r="B1165" s="11" t="n">
        <v>45436</v>
      </c>
      <c r="C1165" s="10" t="s">
        <v>755</v>
      </c>
    </row>
    <row r="1166" customFormat="false" ht="15" hidden="false" customHeight="true" outlineLevel="0" collapsed="false">
      <c r="A1166" s="10" t="s">
        <v>369</v>
      </c>
      <c r="B1166" s="11" t="n">
        <v>45439</v>
      </c>
      <c r="C1166" s="10" t="s">
        <v>755</v>
      </c>
    </row>
    <row r="1167" customFormat="false" ht="15" hidden="false" customHeight="true" outlineLevel="0" collapsed="false">
      <c r="A1167" s="10" t="s">
        <v>369</v>
      </c>
      <c r="B1167" s="11" t="n">
        <v>45440</v>
      </c>
      <c r="C1167" s="10" t="s">
        <v>755</v>
      </c>
    </row>
    <row r="1168" customFormat="false" ht="15" hidden="false" customHeight="true" outlineLevel="0" collapsed="false">
      <c r="A1168" s="10" t="s">
        <v>369</v>
      </c>
      <c r="B1168" s="11" t="n">
        <v>45441</v>
      </c>
      <c r="C1168" s="10" t="s">
        <v>755</v>
      </c>
    </row>
    <row r="1169" customFormat="false" ht="15" hidden="false" customHeight="true" outlineLevel="0" collapsed="false">
      <c r="A1169" s="10" t="s">
        <v>369</v>
      </c>
      <c r="B1169" s="11" t="n">
        <v>45442</v>
      </c>
      <c r="C1169" s="10" t="s">
        <v>755</v>
      </c>
    </row>
    <row r="1170" customFormat="false" ht="15" hidden="false" customHeight="true" outlineLevel="0" collapsed="false">
      <c r="A1170" s="10" t="s">
        <v>369</v>
      </c>
      <c r="B1170" s="11" t="n">
        <v>45443</v>
      </c>
      <c r="C1170" s="10" t="s">
        <v>755</v>
      </c>
    </row>
    <row r="1171" customFormat="false" ht="15" hidden="false" customHeight="true" outlineLevel="0" collapsed="false">
      <c r="A1171" s="10" t="s">
        <v>371</v>
      </c>
      <c r="B1171" s="11" t="n">
        <v>45432</v>
      </c>
      <c r="C1171" s="10" t="s">
        <v>755</v>
      </c>
    </row>
    <row r="1172" customFormat="false" ht="15" hidden="false" customHeight="true" outlineLevel="0" collapsed="false">
      <c r="A1172" s="10" t="s">
        <v>371</v>
      </c>
      <c r="B1172" s="11" t="n">
        <v>45433</v>
      </c>
      <c r="C1172" s="10" t="s">
        <v>755</v>
      </c>
    </row>
    <row r="1173" customFormat="false" ht="15" hidden="false" customHeight="true" outlineLevel="0" collapsed="false">
      <c r="A1173" s="10" t="s">
        <v>371</v>
      </c>
      <c r="B1173" s="11" t="n">
        <v>45434</v>
      </c>
      <c r="C1173" s="10" t="s">
        <v>755</v>
      </c>
    </row>
    <row r="1174" customFormat="false" ht="15" hidden="false" customHeight="true" outlineLevel="0" collapsed="false">
      <c r="A1174" s="10" t="s">
        <v>371</v>
      </c>
      <c r="B1174" s="11" t="n">
        <v>45435</v>
      </c>
      <c r="C1174" s="10" t="s">
        <v>755</v>
      </c>
    </row>
    <row r="1175" customFormat="false" ht="15" hidden="false" customHeight="true" outlineLevel="0" collapsed="false">
      <c r="A1175" s="10" t="s">
        <v>371</v>
      </c>
      <c r="B1175" s="11" t="n">
        <v>45436</v>
      </c>
      <c r="C1175" s="10" t="s">
        <v>755</v>
      </c>
    </row>
    <row r="1176" customFormat="false" ht="15" hidden="false" customHeight="true" outlineLevel="0" collapsed="false">
      <c r="A1176" s="10" t="s">
        <v>371</v>
      </c>
      <c r="B1176" s="11" t="n">
        <v>45439</v>
      </c>
      <c r="C1176" s="10" t="s">
        <v>755</v>
      </c>
    </row>
    <row r="1177" customFormat="false" ht="15" hidden="false" customHeight="true" outlineLevel="0" collapsed="false">
      <c r="A1177" s="10" t="s">
        <v>371</v>
      </c>
      <c r="B1177" s="11" t="n">
        <v>45440</v>
      </c>
      <c r="C1177" s="10" t="s">
        <v>755</v>
      </c>
    </row>
    <row r="1178" customFormat="false" ht="15" hidden="false" customHeight="true" outlineLevel="0" collapsed="false">
      <c r="A1178" s="10" t="s">
        <v>371</v>
      </c>
      <c r="B1178" s="11" t="n">
        <v>45441</v>
      </c>
      <c r="C1178" s="10" t="s">
        <v>755</v>
      </c>
    </row>
    <row r="1179" customFormat="false" ht="15" hidden="false" customHeight="true" outlineLevel="0" collapsed="false">
      <c r="A1179" s="10" t="s">
        <v>371</v>
      </c>
      <c r="B1179" s="11" t="n">
        <v>45442</v>
      </c>
      <c r="C1179" s="10" t="s">
        <v>755</v>
      </c>
    </row>
    <row r="1180" customFormat="false" ht="15" hidden="false" customHeight="true" outlineLevel="0" collapsed="false">
      <c r="A1180" s="10" t="s">
        <v>371</v>
      </c>
      <c r="B1180" s="11" t="n">
        <v>45443</v>
      </c>
      <c r="C1180" s="10" t="s">
        <v>755</v>
      </c>
    </row>
    <row r="1181" customFormat="false" ht="15" hidden="false" customHeight="true" outlineLevel="0" collapsed="false">
      <c r="A1181" s="10" t="s">
        <v>373</v>
      </c>
      <c r="B1181" s="11" t="n">
        <v>45432</v>
      </c>
      <c r="C1181" s="10" t="s">
        <v>755</v>
      </c>
    </row>
    <row r="1182" customFormat="false" ht="15" hidden="false" customHeight="true" outlineLevel="0" collapsed="false">
      <c r="A1182" s="10" t="s">
        <v>373</v>
      </c>
      <c r="B1182" s="11" t="n">
        <v>45433</v>
      </c>
      <c r="C1182" s="10" t="s">
        <v>755</v>
      </c>
    </row>
    <row r="1183" customFormat="false" ht="15" hidden="false" customHeight="true" outlineLevel="0" collapsed="false">
      <c r="A1183" s="10" t="s">
        <v>373</v>
      </c>
      <c r="B1183" s="11" t="n">
        <v>45434</v>
      </c>
      <c r="C1183" s="10" t="s">
        <v>755</v>
      </c>
    </row>
    <row r="1184" customFormat="false" ht="15" hidden="false" customHeight="true" outlineLevel="0" collapsed="false">
      <c r="A1184" s="10" t="s">
        <v>373</v>
      </c>
      <c r="B1184" s="11" t="n">
        <v>45435</v>
      </c>
      <c r="C1184" s="10" t="s">
        <v>755</v>
      </c>
    </row>
    <row r="1185" customFormat="false" ht="15" hidden="false" customHeight="true" outlineLevel="0" collapsed="false">
      <c r="A1185" s="10" t="s">
        <v>373</v>
      </c>
      <c r="B1185" s="11" t="n">
        <v>45436</v>
      </c>
      <c r="C1185" s="10" t="s">
        <v>755</v>
      </c>
    </row>
    <row r="1186" customFormat="false" ht="15" hidden="false" customHeight="true" outlineLevel="0" collapsed="false">
      <c r="A1186" s="10" t="s">
        <v>373</v>
      </c>
      <c r="B1186" s="11" t="n">
        <v>45439</v>
      </c>
      <c r="C1186" s="10" t="s">
        <v>755</v>
      </c>
    </row>
    <row r="1187" customFormat="false" ht="15" hidden="false" customHeight="true" outlineLevel="0" collapsed="false">
      <c r="A1187" s="10" t="s">
        <v>373</v>
      </c>
      <c r="B1187" s="11" t="n">
        <v>45440</v>
      </c>
      <c r="C1187" s="10" t="s">
        <v>755</v>
      </c>
    </row>
    <row r="1188" customFormat="false" ht="15" hidden="false" customHeight="true" outlineLevel="0" collapsed="false">
      <c r="A1188" s="10" t="s">
        <v>373</v>
      </c>
      <c r="B1188" s="11" t="n">
        <v>45441</v>
      </c>
      <c r="C1188" s="10" t="s">
        <v>755</v>
      </c>
    </row>
    <row r="1189" customFormat="false" ht="15" hidden="false" customHeight="true" outlineLevel="0" collapsed="false">
      <c r="A1189" s="10" t="s">
        <v>373</v>
      </c>
      <c r="B1189" s="11" t="n">
        <v>45442</v>
      </c>
      <c r="C1189" s="10" t="s">
        <v>755</v>
      </c>
    </row>
    <row r="1190" customFormat="false" ht="15" hidden="false" customHeight="true" outlineLevel="0" collapsed="false">
      <c r="A1190" s="10" t="s">
        <v>373</v>
      </c>
      <c r="B1190" s="11" t="n">
        <v>45443</v>
      </c>
      <c r="C1190" s="10" t="s">
        <v>755</v>
      </c>
    </row>
    <row r="1191" customFormat="false" ht="15" hidden="false" customHeight="true" outlineLevel="0" collapsed="false">
      <c r="A1191" s="10" t="s">
        <v>375</v>
      </c>
      <c r="B1191" s="11" t="n">
        <v>45432</v>
      </c>
      <c r="C1191" s="10" t="s">
        <v>755</v>
      </c>
    </row>
    <row r="1192" customFormat="false" ht="15" hidden="false" customHeight="true" outlineLevel="0" collapsed="false">
      <c r="A1192" s="10" t="s">
        <v>375</v>
      </c>
      <c r="B1192" s="11" t="n">
        <v>45433</v>
      </c>
      <c r="C1192" s="10" t="s">
        <v>755</v>
      </c>
    </row>
    <row r="1193" customFormat="false" ht="15" hidden="false" customHeight="true" outlineLevel="0" collapsed="false">
      <c r="A1193" s="10" t="s">
        <v>375</v>
      </c>
      <c r="B1193" s="11" t="n">
        <v>45434</v>
      </c>
      <c r="C1193" s="10" t="s">
        <v>755</v>
      </c>
    </row>
    <row r="1194" customFormat="false" ht="15" hidden="false" customHeight="true" outlineLevel="0" collapsed="false">
      <c r="A1194" s="10" t="s">
        <v>375</v>
      </c>
      <c r="B1194" s="11" t="n">
        <v>45435</v>
      </c>
      <c r="C1194" s="10" t="s">
        <v>755</v>
      </c>
    </row>
    <row r="1195" customFormat="false" ht="15" hidden="false" customHeight="true" outlineLevel="0" collapsed="false">
      <c r="A1195" s="10" t="s">
        <v>375</v>
      </c>
      <c r="B1195" s="11" t="n">
        <v>45436</v>
      </c>
      <c r="C1195" s="10" t="s">
        <v>755</v>
      </c>
    </row>
    <row r="1196" customFormat="false" ht="15" hidden="false" customHeight="true" outlineLevel="0" collapsed="false">
      <c r="A1196" s="10" t="s">
        <v>375</v>
      </c>
      <c r="B1196" s="11" t="n">
        <v>45439</v>
      </c>
      <c r="C1196" s="10" t="s">
        <v>755</v>
      </c>
    </row>
    <row r="1197" customFormat="false" ht="15" hidden="false" customHeight="true" outlineLevel="0" collapsed="false">
      <c r="A1197" s="10" t="s">
        <v>375</v>
      </c>
      <c r="B1197" s="11" t="n">
        <v>45440</v>
      </c>
      <c r="C1197" s="10" t="s">
        <v>755</v>
      </c>
    </row>
    <row r="1198" customFormat="false" ht="15" hidden="false" customHeight="true" outlineLevel="0" collapsed="false">
      <c r="A1198" s="10" t="s">
        <v>375</v>
      </c>
      <c r="B1198" s="11" t="n">
        <v>45441</v>
      </c>
      <c r="C1198" s="10" t="s">
        <v>755</v>
      </c>
    </row>
    <row r="1199" customFormat="false" ht="15" hidden="false" customHeight="true" outlineLevel="0" collapsed="false">
      <c r="A1199" s="10" t="s">
        <v>375</v>
      </c>
      <c r="B1199" s="11" t="n">
        <v>45442</v>
      </c>
      <c r="C1199" s="10" t="s">
        <v>755</v>
      </c>
    </row>
    <row r="1200" customFormat="false" ht="15" hidden="false" customHeight="true" outlineLevel="0" collapsed="false">
      <c r="A1200" s="10" t="s">
        <v>375</v>
      </c>
      <c r="B1200" s="11" t="n">
        <v>45443</v>
      </c>
      <c r="C1200" s="10" t="s">
        <v>755</v>
      </c>
    </row>
    <row r="1201" customFormat="false" ht="15" hidden="false" customHeight="true" outlineLevel="0" collapsed="false">
      <c r="A1201" s="10" t="s">
        <v>377</v>
      </c>
      <c r="B1201" s="11" t="n">
        <v>45431</v>
      </c>
      <c r="C1201" s="10" t="s">
        <v>755</v>
      </c>
    </row>
    <row r="1202" customFormat="false" ht="15" hidden="false" customHeight="true" outlineLevel="0" collapsed="false">
      <c r="A1202" s="10" t="s">
        <v>377</v>
      </c>
      <c r="B1202" s="11" t="n">
        <v>45443</v>
      </c>
      <c r="C1202" s="10" t="s">
        <v>755</v>
      </c>
    </row>
    <row r="1203" customFormat="false" ht="15" hidden="false" customHeight="true" outlineLevel="0" collapsed="false">
      <c r="A1203" s="10" t="s">
        <v>382</v>
      </c>
      <c r="B1203" s="11" t="n">
        <v>45418</v>
      </c>
      <c r="C1203" s="10" t="s">
        <v>755</v>
      </c>
    </row>
    <row r="1204" customFormat="false" ht="15" hidden="false" customHeight="true" outlineLevel="0" collapsed="false">
      <c r="A1204" s="10" t="s">
        <v>387</v>
      </c>
      <c r="B1204" s="11" t="n">
        <v>45425</v>
      </c>
      <c r="C1204" s="10" t="s">
        <v>755</v>
      </c>
    </row>
    <row r="1205" customFormat="false" ht="15" hidden="false" customHeight="true" outlineLevel="0" collapsed="false">
      <c r="A1205" s="10" t="s">
        <v>387</v>
      </c>
      <c r="B1205" s="11" t="n">
        <v>45426</v>
      </c>
      <c r="C1205" s="10" t="s">
        <v>755</v>
      </c>
    </row>
    <row r="1206" customFormat="false" ht="15" hidden="false" customHeight="true" outlineLevel="0" collapsed="false">
      <c r="A1206" s="10" t="s">
        <v>387</v>
      </c>
      <c r="B1206" s="11" t="n">
        <v>45427</v>
      </c>
      <c r="C1206" s="10" t="s">
        <v>755</v>
      </c>
    </row>
    <row r="1207" customFormat="false" ht="15" hidden="false" customHeight="true" outlineLevel="0" collapsed="false">
      <c r="A1207" s="10" t="s">
        <v>387</v>
      </c>
      <c r="B1207" s="11" t="n">
        <v>45428</v>
      </c>
      <c r="C1207" s="10" t="s">
        <v>755</v>
      </c>
    </row>
    <row r="1208" customFormat="false" ht="15" hidden="false" customHeight="true" outlineLevel="0" collapsed="false">
      <c r="A1208" s="10" t="s">
        <v>387</v>
      </c>
      <c r="B1208" s="11" t="n">
        <v>45429</v>
      </c>
      <c r="C1208" s="10" t="s">
        <v>755</v>
      </c>
    </row>
    <row r="1209" customFormat="false" ht="15" hidden="false" customHeight="true" outlineLevel="0" collapsed="false">
      <c r="A1209" s="10" t="s">
        <v>387</v>
      </c>
      <c r="B1209" s="11" t="n">
        <v>45432</v>
      </c>
      <c r="C1209" s="10" t="s">
        <v>755</v>
      </c>
    </row>
    <row r="1210" customFormat="false" ht="15" hidden="false" customHeight="true" outlineLevel="0" collapsed="false">
      <c r="A1210" s="10" t="s">
        <v>387</v>
      </c>
      <c r="B1210" s="11" t="n">
        <v>45433</v>
      </c>
      <c r="C1210" s="10" t="s">
        <v>755</v>
      </c>
    </row>
    <row r="1211" customFormat="false" ht="15" hidden="false" customHeight="true" outlineLevel="0" collapsed="false">
      <c r="A1211" s="10" t="s">
        <v>387</v>
      </c>
      <c r="B1211" s="11" t="n">
        <v>45434</v>
      </c>
      <c r="C1211" s="10" t="s">
        <v>755</v>
      </c>
    </row>
    <row r="1212" customFormat="false" ht="15" hidden="false" customHeight="true" outlineLevel="0" collapsed="false">
      <c r="A1212" s="10" t="s">
        <v>387</v>
      </c>
      <c r="B1212" s="11" t="n">
        <v>45435</v>
      </c>
      <c r="C1212" s="10" t="s">
        <v>755</v>
      </c>
    </row>
    <row r="1213" customFormat="false" ht="15" hidden="false" customHeight="true" outlineLevel="0" collapsed="false">
      <c r="A1213" s="10" t="s">
        <v>387</v>
      </c>
      <c r="B1213" s="11" t="n">
        <v>45436</v>
      </c>
      <c r="C1213" s="10" t="s">
        <v>755</v>
      </c>
    </row>
    <row r="1214" customFormat="false" ht="15" hidden="false" customHeight="true" outlineLevel="0" collapsed="false">
      <c r="A1214" s="10" t="s">
        <v>387</v>
      </c>
      <c r="B1214" s="11" t="n">
        <v>45439</v>
      </c>
      <c r="C1214" s="10" t="s">
        <v>755</v>
      </c>
    </row>
    <row r="1215" customFormat="false" ht="15" hidden="false" customHeight="true" outlineLevel="0" collapsed="false">
      <c r="A1215" s="10" t="s">
        <v>387</v>
      </c>
      <c r="B1215" s="11" t="n">
        <v>45440</v>
      </c>
      <c r="C1215" s="10" t="s">
        <v>755</v>
      </c>
    </row>
    <row r="1216" customFormat="false" ht="15" hidden="false" customHeight="true" outlineLevel="0" collapsed="false">
      <c r="A1216" s="10" t="s">
        <v>387</v>
      </c>
      <c r="B1216" s="11" t="n">
        <v>45441</v>
      </c>
      <c r="C1216" s="10" t="s">
        <v>755</v>
      </c>
    </row>
    <row r="1217" customFormat="false" ht="15" hidden="false" customHeight="true" outlineLevel="0" collapsed="false">
      <c r="A1217" s="10" t="s">
        <v>387</v>
      </c>
      <c r="B1217" s="11" t="n">
        <v>45442</v>
      </c>
      <c r="C1217" s="10" t="s">
        <v>755</v>
      </c>
    </row>
    <row r="1218" customFormat="false" ht="15" hidden="false" customHeight="true" outlineLevel="0" collapsed="false">
      <c r="A1218" s="10" t="s">
        <v>387</v>
      </c>
      <c r="B1218" s="11" t="n">
        <v>45443</v>
      </c>
      <c r="C1218" s="10" t="s">
        <v>755</v>
      </c>
    </row>
    <row r="1219" customFormat="false" ht="15" hidden="false" customHeight="true" outlineLevel="0" collapsed="false">
      <c r="A1219" s="10" t="s">
        <v>391</v>
      </c>
      <c r="B1219" s="11" t="n">
        <v>45439</v>
      </c>
      <c r="C1219" s="10" t="s">
        <v>755</v>
      </c>
    </row>
    <row r="1220" customFormat="false" ht="15" hidden="false" customHeight="true" outlineLevel="0" collapsed="false">
      <c r="A1220" s="10" t="s">
        <v>391</v>
      </c>
      <c r="B1220" s="11" t="n">
        <v>45440</v>
      </c>
      <c r="C1220" s="10" t="s">
        <v>755</v>
      </c>
    </row>
    <row r="1221" customFormat="false" ht="15" hidden="false" customHeight="true" outlineLevel="0" collapsed="false">
      <c r="A1221" s="10" t="s">
        <v>391</v>
      </c>
      <c r="B1221" s="11" t="n">
        <v>45441</v>
      </c>
      <c r="C1221" s="10" t="s">
        <v>755</v>
      </c>
    </row>
    <row r="1222" customFormat="false" ht="15" hidden="false" customHeight="true" outlineLevel="0" collapsed="false">
      <c r="A1222" s="10" t="s">
        <v>391</v>
      </c>
      <c r="B1222" s="11" t="n">
        <v>45442</v>
      </c>
      <c r="C1222" s="10" t="s">
        <v>755</v>
      </c>
    </row>
    <row r="1223" customFormat="false" ht="15" hidden="false" customHeight="true" outlineLevel="0" collapsed="false">
      <c r="A1223" s="10" t="s">
        <v>391</v>
      </c>
      <c r="B1223" s="11" t="n">
        <v>45443</v>
      </c>
      <c r="C1223" s="10" t="s">
        <v>755</v>
      </c>
    </row>
    <row r="1224" customFormat="false" ht="15" hidden="false" customHeight="true" outlineLevel="0" collapsed="false">
      <c r="A1224" s="10" t="s">
        <v>394</v>
      </c>
      <c r="B1224" s="11" t="n">
        <v>45425</v>
      </c>
      <c r="C1224" s="10" t="s">
        <v>755</v>
      </c>
    </row>
    <row r="1225" customFormat="false" ht="15" hidden="false" customHeight="true" outlineLevel="0" collapsed="false">
      <c r="A1225" s="10" t="s">
        <v>394</v>
      </c>
      <c r="B1225" s="11" t="n">
        <v>45426</v>
      </c>
      <c r="C1225" s="10" t="s">
        <v>755</v>
      </c>
    </row>
    <row r="1226" customFormat="false" ht="15" hidden="false" customHeight="true" outlineLevel="0" collapsed="false">
      <c r="A1226" s="10" t="s">
        <v>394</v>
      </c>
      <c r="B1226" s="11" t="n">
        <v>45427</v>
      </c>
      <c r="C1226" s="10" t="s">
        <v>755</v>
      </c>
    </row>
    <row r="1227" customFormat="false" ht="15" hidden="false" customHeight="true" outlineLevel="0" collapsed="false">
      <c r="A1227" s="10" t="s">
        <v>394</v>
      </c>
      <c r="B1227" s="11" t="n">
        <v>45428</v>
      </c>
      <c r="C1227" s="10" t="s">
        <v>755</v>
      </c>
    </row>
    <row r="1228" customFormat="false" ht="15" hidden="false" customHeight="true" outlineLevel="0" collapsed="false">
      <c r="A1228" s="10" t="s">
        <v>394</v>
      </c>
      <c r="B1228" s="11" t="n">
        <v>45429</v>
      </c>
      <c r="C1228" s="10" t="s">
        <v>755</v>
      </c>
    </row>
    <row r="1229" customFormat="false" ht="15" hidden="false" customHeight="true" outlineLevel="0" collapsed="false">
      <c r="A1229" s="10" t="s">
        <v>394</v>
      </c>
      <c r="B1229" s="11" t="n">
        <v>45432</v>
      </c>
      <c r="C1229" s="10" t="s">
        <v>755</v>
      </c>
    </row>
    <row r="1230" customFormat="false" ht="15" hidden="false" customHeight="true" outlineLevel="0" collapsed="false">
      <c r="A1230" s="10" t="s">
        <v>394</v>
      </c>
      <c r="B1230" s="11" t="n">
        <v>45433</v>
      </c>
      <c r="C1230" s="10" t="s">
        <v>755</v>
      </c>
    </row>
    <row r="1231" customFormat="false" ht="15" hidden="false" customHeight="true" outlineLevel="0" collapsed="false">
      <c r="A1231" s="10" t="s">
        <v>394</v>
      </c>
      <c r="B1231" s="11" t="n">
        <v>45434</v>
      </c>
      <c r="C1231" s="10" t="s">
        <v>755</v>
      </c>
    </row>
    <row r="1232" customFormat="false" ht="15" hidden="false" customHeight="true" outlineLevel="0" collapsed="false">
      <c r="A1232" s="10" t="s">
        <v>394</v>
      </c>
      <c r="B1232" s="11" t="n">
        <v>45435</v>
      </c>
      <c r="C1232" s="10" t="s">
        <v>755</v>
      </c>
    </row>
    <row r="1233" customFormat="false" ht="15" hidden="false" customHeight="true" outlineLevel="0" collapsed="false">
      <c r="A1233" s="10" t="s">
        <v>394</v>
      </c>
      <c r="B1233" s="11" t="n">
        <v>45436</v>
      </c>
      <c r="C1233" s="10" t="s">
        <v>755</v>
      </c>
    </row>
    <row r="1234" customFormat="false" ht="15" hidden="false" customHeight="true" outlineLevel="0" collapsed="false">
      <c r="A1234" s="10" t="s">
        <v>394</v>
      </c>
      <c r="B1234" s="11" t="n">
        <v>45439</v>
      </c>
      <c r="C1234" s="10" t="s">
        <v>755</v>
      </c>
    </row>
    <row r="1235" customFormat="false" ht="15" hidden="false" customHeight="true" outlineLevel="0" collapsed="false">
      <c r="A1235" s="10" t="s">
        <v>394</v>
      </c>
      <c r="B1235" s="11" t="n">
        <v>45440</v>
      </c>
      <c r="C1235" s="10" t="s">
        <v>755</v>
      </c>
    </row>
    <row r="1236" customFormat="false" ht="15" hidden="false" customHeight="true" outlineLevel="0" collapsed="false">
      <c r="A1236" s="10" t="s">
        <v>394</v>
      </c>
      <c r="B1236" s="11" t="n">
        <v>45441</v>
      </c>
      <c r="C1236" s="10" t="s">
        <v>755</v>
      </c>
    </row>
    <row r="1237" customFormat="false" ht="15" hidden="false" customHeight="true" outlineLevel="0" collapsed="false">
      <c r="A1237" s="10" t="s">
        <v>394</v>
      </c>
      <c r="B1237" s="11" t="n">
        <v>45442</v>
      </c>
      <c r="C1237" s="10" t="s">
        <v>755</v>
      </c>
    </row>
    <row r="1238" customFormat="false" ht="15" hidden="false" customHeight="true" outlineLevel="0" collapsed="false">
      <c r="A1238" s="10" t="s">
        <v>394</v>
      </c>
      <c r="B1238" s="11" t="n">
        <v>45443</v>
      </c>
      <c r="C1238" s="10" t="s">
        <v>755</v>
      </c>
    </row>
    <row r="1239" customFormat="false" ht="15" hidden="false" customHeight="true" outlineLevel="0" collapsed="false">
      <c r="A1239" s="10" t="s">
        <v>397</v>
      </c>
      <c r="B1239" s="11" t="n">
        <v>45426</v>
      </c>
      <c r="C1239" s="10" t="s">
        <v>756</v>
      </c>
    </row>
    <row r="1240" customFormat="false" ht="15" hidden="false" customHeight="true" outlineLevel="0" collapsed="false">
      <c r="A1240" s="10" t="s">
        <v>397</v>
      </c>
      <c r="B1240" s="11" t="n">
        <v>45427</v>
      </c>
      <c r="C1240" s="10" t="s">
        <v>756</v>
      </c>
    </row>
    <row r="1241" customFormat="false" ht="15" hidden="false" customHeight="true" outlineLevel="0" collapsed="false">
      <c r="A1241" s="10" t="s">
        <v>397</v>
      </c>
      <c r="B1241" s="11" t="n">
        <v>45428</v>
      </c>
      <c r="C1241" s="10" t="s">
        <v>756</v>
      </c>
    </row>
    <row r="1242" customFormat="false" ht="15" hidden="false" customHeight="true" outlineLevel="0" collapsed="false">
      <c r="A1242" s="10" t="s">
        <v>397</v>
      </c>
      <c r="B1242" s="11" t="n">
        <v>45429</v>
      </c>
      <c r="C1242" s="10" t="s">
        <v>756</v>
      </c>
    </row>
    <row r="1243" customFormat="false" ht="15" hidden="false" customHeight="true" outlineLevel="0" collapsed="false">
      <c r="A1243" s="10" t="s">
        <v>397</v>
      </c>
      <c r="B1243" s="11" t="n">
        <v>45432</v>
      </c>
      <c r="C1243" s="10" t="s">
        <v>756</v>
      </c>
    </row>
    <row r="1244" customFormat="false" ht="15" hidden="false" customHeight="true" outlineLevel="0" collapsed="false">
      <c r="A1244" s="10" t="s">
        <v>397</v>
      </c>
      <c r="B1244" s="11" t="n">
        <v>45433</v>
      </c>
      <c r="C1244" s="10" t="s">
        <v>756</v>
      </c>
    </row>
    <row r="1245" customFormat="false" ht="15" hidden="false" customHeight="true" outlineLevel="0" collapsed="false">
      <c r="A1245" s="10" t="s">
        <v>397</v>
      </c>
      <c r="B1245" s="11" t="n">
        <v>45434</v>
      </c>
      <c r="C1245" s="10" t="s">
        <v>756</v>
      </c>
    </row>
    <row r="1246" customFormat="false" ht="15" hidden="false" customHeight="true" outlineLevel="0" collapsed="false">
      <c r="A1246" s="10" t="s">
        <v>397</v>
      </c>
      <c r="B1246" s="11" t="n">
        <v>45435</v>
      </c>
      <c r="C1246" s="10" t="s">
        <v>756</v>
      </c>
    </row>
    <row r="1247" customFormat="false" ht="15" hidden="false" customHeight="true" outlineLevel="0" collapsed="false">
      <c r="A1247" s="10" t="s">
        <v>397</v>
      </c>
      <c r="B1247" s="11" t="n">
        <v>45436</v>
      </c>
      <c r="C1247" s="10" t="s">
        <v>756</v>
      </c>
    </row>
  </sheetData>
  <autoFilter ref="A1:C124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46"/>
    <col collapsed="false" customWidth="true" hidden="false" outlineLevel="0" max="3" min="3" style="1" width="24"/>
    <col collapsed="false" customWidth="true" hidden="false" outlineLevel="0" max="4" min="4" style="1" width="20"/>
    <col collapsed="false" customWidth="true" hidden="false" outlineLevel="0" max="5" min="5" style="1" width="26"/>
    <col collapsed="false" customWidth="true" hidden="false" outlineLevel="0" max="6" min="6" style="1" width="38"/>
    <col collapsed="false" customWidth="true" hidden="false" outlineLevel="0" max="8" min="7" style="1" width="13"/>
  </cols>
  <sheetData>
    <row r="1" customFormat="false" ht="23.25" hidden="false" customHeight="true" outlineLevel="0" collapsed="false">
      <c r="A1" s="9" t="s">
        <v>646</v>
      </c>
      <c r="B1" s="9" t="s">
        <v>647</v>
      </c>
      <c r="C1" s="9" t="s">
        <v>757</v>
      </c>
      <c r="D1" s="9" t="s">
        <v>758</v>
      </c>
      <c r="E1" s="9" t="s">
        <v>759</v>
      </c>
      <c r="F1" s="9" t="s">
        <v>760</v>
      </c>
      <c r="G1" s="9" t="s">
        <v>761</v>
      </c>
      <c r="H1" s="9" t="s">
        <v>762</v>
      </c>
    </row>
    <row r="2" customFormat="false" ht="15" hidden="false" customHeight="true" outlineLevel="0" collapsed="false">
      <c r="A2" s="10" t="s">
        <v>734</v>
      </c>
      <c r="B2" s="10" t="s">
        <v>763</v>
      </c>
      <c r="C2" s="10" t="s">
        <v>764</v>
      </c>
      <c r="D2" s="10" t="s">
        <v>765</v>
      </c>
      <c r="E2" s="10" t="s">
        <v>766</v>
      </c>
      <c r="F2" s="10" t="s">
        <v>767</v>
      </c>
      <c r="G2" s="10" t="n">
        <f aca="false">COUNTIFS(Bridge_Trip_Site!$B$2:$B$2000,A2,Bridge_Trip_Site!$A$2:$A$2000,"T2024-*")</f>
        <v>0</v>
      </c>
      <c r="H2" s="10" t="n">
        <f aca="false">COUNTIFS(Bridge_Trip_Site!$B$2:$B$2000,A2,Bridge_Trip_Site!$A$2:$A$2000,"P2025-*")</f>
        <v>1</v>
      </c>
    </row>
    <row r="3" customFormat="false" ht="15" hidden="false" customHeight="true" outlineLevel="0" collapsed="false">
      <c r="A3" s="10" t="s">
        <v>693</v>
      </c>
      <c r="B3" s="10" t="s">
        <v>768</v>
      </c>
      <c r="C3" s="10" t="s">
        <v>769</v>
      </c>
      <c r="D3" s="10" t="s">
        <v>770</v>
      </c>
      <c r="E3" s="10" t="s">
        <v>766</v>
      </c>
      <c r="F3" s="10" t="s">
        <v>767</v>
      </c>
      <c r="G3" s="10" t="n">
        <f aca="false">COUNTIFS(Bridge_Trip_Site!$B$2:$B$2000,A3,Bridge_Trip_Site!$A$2:$A$2000,"T2024-*")</f>
        <v>2</v>
      </c>
      <c r="H3" s="10" t="n">
        <f aca="false">COUNTIFS(Bridge_Trip_Site!$B$2:$B$2000,A3,Bridge_Trip_Site!$A$2:$A$2000,"P2025-*")</f>
        <v>1</v>
      </c>
    </row>
    <row r="4" customFormat="false" ht="15" hidden="false" customHeight="true" outlineLevel="0" collapsed="false">
      <c r="A4" s="10" t="s">
        <v>694</v>
      </c>
      <c r="B4" s="10" t="s">
        <v>771</v>
      </c>
      <c r="C4" s="10" t="s">
        <v>772</v>
      </c>
      <c r="D4" s="10" t="s">
        <v>770</v>
      </c>
      <c r="E4" s="10" t="s">
        <v>766</v>
      </c>
      <c r="F4" s="10" t="s">
        <v>767</v>
      </c>
      <c r="G4" s="10" t="n">
        <f aca="false">COUNTIFS(Bridge_Trip_Site!$B$2:$B$2000,A4,Bridge_Trip_Site!$A$2:$A$2000,"T2024-*")</f>
        <v>2</v>
      </c>
      <c r="H4" s="10" t="n">
        <f aca="false">COUNTIFS(Bridge_Trip_Site!$B$2:$B$2000,A4,Bridge_Trip_Site!$A$2:$A$2000,"P2025-*")</f>
        <v>1</v>
      </c>
    </row>
    <row r="5" customFormat="false" ht="15" hidden="false" customHeight="true" outlineLevel="0" collapsed="false">
      <c r="A5" s="10" t="s">
        <v>735</v>
      </c>
      <c r="B5" s="10" t="s">
        <v>773</v>
      </c>
      <c r="C5" s="10" t="s">
        <v>774</v>
      </c>
      <c r="D5" s="10" t="s">
        <v>775</v>
      </c>
      <c r="E5" s="10" t="s">
        <v>766</v>
      </c>
      <c r="F5" s="10" t="s">
        <v>767</v>
      </c>
      <c r="G5" s="10" t="n">
        <f aca="false">COUNTIFS(Bridge_Trip_Site!$B$2:$B$2000,A5,Bridge_Trip_Site!$A$2:$A$2000,"T2024-*")</f>
        <v>0</v>
      </c>
      <c r="H5" s="10" t="n">
        <f aca="false">COUNTIFS(Bridge_Trip_Site!$B$2:$B$2000,A5,Bridge_Trip_Site!$A$2:$A$2000,"P2025-*")</f>
        <v>1</v>
      </c>
    </row>
    <row r="6" customFormat="false" ht="15" hidden="false" customHeight="true" outlineLevel="0" collapsed="false">
      <c r="A6" s="10" t="s">
        <v>736</v>
      </c>
      <c r="B6" s="10" t="s">
        <v>776</v>
      </c>
      <c r="C6" s="10" t="s">
        <v>777</v>
      </c>
      <c r="D6" s="10" t="s">
        <v>770</v>
      </c>
      <c r="E6" s="10" t="s">
        <v>766</v>
      </c>
      <c r="F6" s="10" t="s">
        <v>767</v>
      </c>
      <c r="G6" s="10" t="n">
        <f aca="false">COUNTIFS(Bridge_Trip_Site!$B$2:$B$2000,A6,Bridge_Trip_Site!$A$2:$A$2000,"T2024-*")</f>
        <v>0</v>
      </c>
      <c r="H6" s="10" t="n">
        <f aca="false">COUNTIFS(Bridge_Trip_Site!$B$2:$B$2000,A6,Bridge_Trip_Site!$A$2:$A$2000,"P2025-*")</f>
        <v>1</v>
      </c>
    </row>
    <row r="7" customFormat="false" ht="15" hidden="false" customHeight="true" outlineLevel="0" collapsed="false">
      <c r="A7" s="10" t="s">
        <v>708</v>
      </c>
      <c r="B7" s="10" t="s">
        <v>778</v>
      </c>
      <c r="C7" s="10" t="s">
        <v>778</v>
      </c>
      <c r="D7" s="10" t="s">
        <v>779</v>
      </c>
      <c r="E7" s="10" t="s">
        <v>766</v>
      </c>
      <c r="F7" s="10" t="s">
        <v>780</v>
      </c>
      <c r="G7" s="10" t="n">
        <f aca="false">COUNTIFS(Bridge_Trip_Site!$B$2:$B$2000,A7,Bridge_Trip_Site!$A$2:$A$2000,"T2024-*")</f>
        <v>2</v>
      </c>
      <c r="H7" s="10" t="n">
        <f aca="false">COUNTIFS(Bridge_Trip_Site!$B$2:$B$2000,A7,Bridge_Trip_Site!$A$2:$A$2000,"P2025-*")</f>
        <v>0</v>
      </c>
    </row>
    <row r="8" customFormat="false" ht="15" hidden="false" customHeight="true" outlineLevel="0" collapsed="false">
      <c r="A8" s="10" t="s">
        <v>737</v>
      </c>
      <c r="B8" s="10" t="s">
        <v>781</v>
      </c>
      <c r="C8" s="10" t="s">
        <v>782</v>
      </c>
      <c r="D8" s="10" t="s">
        <v>775</v>
      </c>
      <c r="E8" s="10" t="s">
        <v>766</v>
      </c>
      <c r="F8" s="10" t="s">
        <v>767</v>
      </c>
      <c r="G8" s="10" t="n">
        <f aca="false">COUNTIFS(Bridge_Trip_Site!$B$2:$B$2000,A8,Bridge_Trip_Site!$A$2:$A$2000,"T2024-*")</f>
        <v>0</v>
      </c>
      <c r="H8" s="10" t="n">
        <f aca="false">COUNTIFS(Bridge_Trip_Site!$B$2:$B$2000,A8,Bridge_Trip_Site!$A$2:$A$2000,"P2025-*")</f>
        <v>1</v>
      </c>
    </row>
    <row r="9" customFormat="false" ht="15" hidden="false" customHeight="true" outlineLevel="0" collapsed="false">
      <c r="A9" s="10" t="s">
        <v>733</v>
      </c>
      <c r="B9" s="10" t="s">
        <v>783</v>
      </c>
      <c r="C9" s="10" t="s">
        <v>782</v>
      </c>
      <c r="D9" s="10" t="s">
        <v>784</v>
      </c>
      <c r="E9" s="10" t="s">
        <v>766</v>
      </c>
      <c r="F9" s="10" t="s">
        <v>767</v>
      </c>
      <c r="G9" s="10" t="n">
        <f aca="false">COUNTIFS(Bridge_Trip_Site!$B$2:$B$2000,A9,Bridge_Trip_Site!$A$2:$A$2000,"T2024-*")</f>
        <v>0</v>
      </c>
      <c r="H9" s="10" t="n">
        <f aca="false">COUNTIFS(Bridge_Trip_Site!$B$2:$B$2000,A9,Bridge_Trip_Site!$A$2:$A$2000,"P2025-*")</f>
        <v>1</v>
      </c>
    </row>
    <row r="10" customFormat="false" ht="15" hidden="false" customHeight="true" outlineLevel="0" collapsed="false">
      <c r="A10" s="10" t="s">
        <v>670</v>
      </c>
      <c r="B10" s="10" t="s">
        <v>785</v>
      </c>
      <c r="C10" s="10" t="s">
        <v>786</v>
      </c>
      <c r="D10" s="10" t="s">
        <v>775</v>
      </c>
      <c r="E10" s="10" t="s">
        <v>766</v>
      </c>
      <c r="F10" s="10" t="s">
        <v>767</v>
      </c>
      <c r="G10" s="10" t="n">
        <f aca="false">COUNTIFS(Bridge_Trip_Site!$B$2:$B$2000,A10,Bridge_Trip_Site!$A$2:$A$2000,"T2024-*")</f>
        <v>1</v>
      </c>
      <c r="H10" s="10" t="n">
        <f aca="false">COUNTIFS(Bridge_Trip_Site!$B$2:$B$2000,A10,Bridge_Trip_Site!$A$2:$A$2000,"P2025-*")</f>
        <v>1</v>
      </c>
    </row>
    <row r="11" customFormat="false" ht="15" hidden="false" customHeight="true" outlineLevel="0" collapsed="false">
      <c r="A11" s="10" t="s">
        <v>738</v>
      </c>
      <c r="B11" s="10" t="s">
        <v>787</v>
      </c>
      <c r="C11" s="10" t="s">
        <v>788</v>
      </c>
      <c r="D11" s="10" t="s">
        <v>775</v>
      </c>
      <c r="E11" s="10" t="s">
        <v>766</v>
      </c>
      <c r="F11" s="10" t="s">
        <v>767</v>
      </c>
      <c r="G11" s="10" t="n">
        <f aca="false">COUNTIFS(Bridge_Trip_Site!$B$2:$B$2000,A11,Bridge_Trip_Site!$A$2:$A$2000,"T2024-*")</f>
        <v>0</v>
      </c>
      <c r="H11" s="10" t="n">
        <f aca="false">COUNTIFS(Bridge_Trip_Site!$B$2:$B$2000,A11,Bridge_Trip_Site!$A$2:$A$2000,"P2025-*")</f>
        <v>1</v>
      </c>
    </row>
    <row r="12" customFormat="false" ht="15" hidden="false" customHeight="true" outlineLevel="0" collapsed="false">
      <c r="A12" s="10" t="s">
        <v>718</v>
      </c>
      <c r="B12" s="10" t="s">
        <v>789</v>
      </c>
      <c r="C12" s="10" t="s">
        <v>788</v>
      </c>
      <c r="D12" s="10" t="s">
        <v>784</v>
      </c>
      <c r="E12" s="10" t="s">
        <v>766</v>
      </c>
      <c r="F12" s="10" t="s">
        <v>780</v>
      </c>
      <c r="G12" s="10" t="n">
        <f aca="false">COUNTIFS(Bridge_Trip_Site!$B$2:$B$2000,A12,Bridge_Trip_Site!$A$2:$A$2000,"T2024-*")</f>
        <v>1</v>
      </c>
      <c r="H12" s="10" t="n">
        <f aca="false">COUNTIFS(Bridge_Trip_Site!$B$2:$B$2000,A12,Bridge_Trip_Site!$A$2:$A$2000,"P2025-*")</f>
        <v>0</v>
      </c>
    </row>
    <row r="13" customFormat="false" ht="15" hidden="false" customHeight="true" outlineLevel="0" collapsed="false">
      <c r="A13" s="10" t="s">
        <v>662</v>
      </c>
      <c r="B13" s="10" t="s">
        <v>790</v>
      </c>
      <c r="C13" s="10" t="s">
        <v>788</v>
      </c>
      <c r="D13" s="10" t="s">
        <v>791</v>
      </c>
      <c r="E13" s="10" t="s">
        <v>766</v>
      </c>
      <c r="F13" s="10" t="s">
        <v>780</v>
      </c>
      <c r="G13" s="10" t="n">
        <f aca="false">COUNTIFS(Bridge_Trip_Site!$B$2:$B$2000,A13,Bridge_Trip_Site!$A$2:$A$2000,"T2024-*")</f>
        <v>1</v>
      </c>
      <c r="H13" s="10" t="n">
        <f aca="false">COUNTIFS(Bridge_Trip_Site!$B$2:$B$2000,A13,Bridge_Trip_Site!$A$2:$A$2000,"P2025-*")</f>
        <v>0</v>
      </c>
    </row>
    <row r="14" customFormat="false" ht="15" hidden="false" customHeight="true" outlineLevel="0" collapsed="false">
      <c r="A14" s="10" t="s">
        <v>716</v>
      </c>
      <c r="B14" s="10" t="s">
        <v>792</v>
      </c>
      <c r="C14" s="10" t="s">
        <v>793</v>
      </c>
      <c r="D14" s="10" t="s">
        <v>794</v>
      </c>
      <c r="E14" s="10" t="s">
        <v>766</v>
      </c>
      <c r="F14" s="10" t="s">
        <v>795</v>
      </c>
      <c r="G14" s="10" t="n">
        <f aca="false">COUNTIFS(Bridge_Trip_Site!$B$2:$B$2000,A14,Bridge_Trip_Site!$A$2:$A$2000,"T2024-*")</f>
        <v>1</v>
      </c>
      <c r="H14" s="10" t="n">
        <f aca="false">COUNTIFS(Bridge_Trip_Site!$B$2:$B$2000,A14,Bridge_Trip_Site!$A$2:$A$2000,"P2025-*")</f>
        <v>0</v>
      </c>
    </row>
    <row r="15" customFormat="false" ht="15" hidden="false" customHeight="true" outlineLevel="0" collapsed="false">
      <c r="A15" s="10" t="s">
        <v>680</v>
      </c>
      <c r="B15" s="10" t="s">
        <v>796</v>
      </c>
      <c r="C15" s="10" t="s">
        <v>797</v>
      </c>
      <c r="D15" s="10" t="s">
        <v>765</v>
      </c>
      <c r="E15" s="10" t="s">
        <v>766</v>
      </c>
      <c r="F15" s="10" t="s">
        <v>767</v>
      </c>
      <c r="G15" s="10" t="n">
        <f aca="false">COUNTIFS(Bridge_Trip_Site!$B$2:$B$2000,A15,Bridge_Trip_Site!$A$2:$A$2000,"T2024-*")</f>
        <v>3</v>
      </c>
      <c r="H15" s="10" t="n">
        <f aca="false">COUNTIFS(Bridge_Trip_Site!$B$2:$B$2000,A15,Bridge_Trip_Site!$A$2:$A$2000,"P2025-*")</f>
        <v>2</v>
      </c>
    </row>
    <row r="16" customFormat="false" ht="15" hidden="false" customHeight="true" outlineLevel="0" collapsed="false">
      <c r="A16" s="10" t="s">
        <v>713</v>
      </c>
      <c r="B16" s="10" t="s">
        <v>798</v>
      </c>
      <c r="C16" s="10" t="s">
        <v>799</v>
      </c>
      <c r="D16" s="10" t="s">
        <v>794</v>
      </c>
      <c r="E16" s="10" t="s">
        <v>766</v>
      </c>
      <c r="F16" s="10" t="s">
        <v>795</v>
      </c>
      <c r="G16" s="10" t="n">
        <f aca="false">COUNTIFS(Bridge_Trip_Site!$B$2:$B$2000,A16,Bridge_Trip_Site!$A$2:$A$2000,"T2024-*")</f>
        <v>3</v>
      </c>
      <c r="H16" s="10" t="n">
        <f aca="false">COUNTIFS(Bridge_Trip_Site!$B$2:$B$2000,A16,Bridge_Trip_Site!$A$2:$A$2000,"P2025-*")</f>
        <v>0</v>
      </c>
    </row>
    <row r="17" customFormat="false" ht="15" hidden="false" customHeight="true" outlineLevel="0" collapsed="false">
      <c r="A17" s="10" t="s">
        <v>739</v>
      </c>
      <c r="B17" s="10" t="s">
        <v>800</v>
      </c>
      <c r="C17" s="10" t="s">
        <v>799</v>
      </c>
      <c r="D17" s="10" t="s">
        <v>775</v>
      </c>
      <c r="E17" s="10" t="s">
        <v>766</v>
      </c>
      <c r="F17" s="10" t="s">
        <v>767</v>
      </c>
      <c r="G17" s="10" t="n">
        <f aca="false">COUNTIFS(Bridge_Trip_Site!$B$2:$B$2000,A17,Bridge_Trip_Site!$A$2:$A$2000,"T2024-*")</f>
        <v>0</v>
      </c>
      <c r="H17" s="10" t="n">
        <f aca="false">COUNTIFS(Bridge_Trip_Site!$B$2:$B$2000,A17,Bridge_Trip_Site!$A$2:$A$2000,"P2025-*")</f>
        <v>1</v>
      </c>
    </row>
    <row r="18" customFormat="false" ht="15" hidden="false" customHeight="true" outlineLevel="0" collapsed="false">
      <c r="A18" s="10" t="s">
        <v>729</v>
      </c>
      <c r="B18" s="10" t="s">
        <v>801</v>
      </c>
      <c r="C18" s="10" t="s">
        <v>799</v>
      </c>
      <c r="D18" s="10" t="s">
        <v>784</v>
      </c>
      <c r="E18" s="10" t="s">
        <v>766</v>
      </c>
      <c r="F18" s="10" t="s">
        <v>767</v>
      </c>
      <c r="G18" s="10" t="n">
        <f aca="false">COUNTIFS(Bridge_Trip_Site!$B$2:$B$2000,A18,Bridge_Trip_Site!$A$2:$A$2000,"T2024-*")</f>
        <v>0</v>
      </c>
      <c r="H18" s="10" t="n">
        <f aca="false">COUNTIFS(Bridge_Trip_Site!$B$2:$B$2000,A18,Bridge_Trip_Site!$A$2:$A$2000,"P2025-*")</f>
        <v>1</v>
      </c>
    </row>
    <row r="19" customFormat="false" ht="15" hidden="false" customHeight="true" outlineLevel="0" collapsed="false">
      <c r="A19" s="10" t="s">
        <v>740</v>
      </c>
      <c r="B19" s="10" t="s">
        <v>802</v>
      </c>
      <c r="C19" s="10" t="s">
        <v>799</v>
      </c>
      <c r="D19" s="10" t="s">
        <v>791</v>
      </c>
      <c r="E19" s="10" t="s">
        <v>766</v>
      </c>
      <c r="F19" s="10" t="s">
        <v>767</v>
      </c>
      <c r="G19" s="10" t="n">
        <f aca="false">COUNTIFS(Bridge_Trip_Site!$B$2:$B$2000,A19,Bridge_Trip_Site!$A$2:$A$2000,"T2024-*")</f>
        <v>0</v>
      </c>
      <c r="H19" s="10" t="n">
        <f aca="false">COUNTIFS(Bridge_Trip_Site!$B$2:$B$2000,A19,Bridge_Trip_Site!$A$2:$A$2000,"P2025-*")</f>
        <v>1</v>
      </c>
    </row>
    <row r="20" customFormat="false" ht="15" hidden="false" customHeight="true" outlineLevel="0" collapsed="false">
      <c r="A20" s="10" t="s">
        <v>722</v>
      </c>
      <c r="B20" s="10" t="s">
        <v>803</v>
      </c>
      <c r="C20" s="10" t="s">
        <v>799</v>
      </c>
      <c r="D20" s="10" t="s">
        <v>804</v>
      </c>
      <c r="E20" s="10" t="s">
        <v>766</v>
      </c>
      <c r="F20" s="10" t="s">
        <v>780</v>
      </c>
      <c r="G20" s="10" t="n">
        <f aca="false">COUNTIFS(Bridge_Trip_Site!$B$2:$B$2000,A20,Bridge_Trip_Site!$A$2:$A$2000,"T2024-*")</f>
        <v>1</v>
      </c>
      <c r="H20" s="10" t="n">
        <f aca="false">COUNTIFS(Bridge_Trip_Site!$B$2:$B$2000,A20,Bridge_Trip_Site!$A$2:$A$2000,"P2025-*")</f>
        <v>0</v>
      </c>
    </row>
    <row r="21" customFormat="false" ht="15" hidden="false" customHeight="true" outlineLevel="0" collapsed="false">
      <c r="A21" s="10" t="s">
        <v>696</v>
      </c>
      <c r="B21" s="10" t="s">
        <v>805</v>
      </c>
      <c r="C21" s="10" t="s">
        <v>806</v>
      </c>
      <c r="D21" s="10" t="s">
        <v>770</v>
      </c>
      <c r="E21" s="10" t="s">
        <v>766</v>
      </c>
      <c r="F21" s="10" t="s">
        <v>767</v>
      </c>
      <c r="G21" s="10" t="n">
        <f aca="false">COUNTIFS(Bridge_Trip_Site!$B$2:$B$2000,A21,Bridge_Trip_Site!$A$2:$A$2000,"T2024-*")</f>
        <v>2</v>
      </c>
      <c r="H21" s="10" t="n">
        <f aca="false">COUNTIFS(Bridge_Trip_Site!$B$2:$B$2000,A21,Bridge_Trip_Site!$A$2:$A$2000,"P2025-*")</f>
        <v>1</v>
      </c>
    </row>
    <row r="22" customFormat="false" ht="15" hidden="false" customHeight="true" outlineLevel="0" collapsed="false">
      <c r="A22" s="10" t="s">
        <v>692</v>
      </c>
      <c r="B22" s="10" t="s">
        <v>807</v>
      </c>
      <c r="C22" s="10" t="s">
        <v>808</v>
      </c>
      <c r="D22" s="10" t="s">
        <v>770</v>
      </c>
      <c r="E22" s="10" t="s">
        <v>766</v>
      </c>
      <c r="F22" s="10" t="s">
        <v>767</v>
      </c>
      <c r="G22" s="10" t="n">
        <f aca="false">COUNTIFS(Bridge_Trip_Site!$B$2:$B$2000,A22,Bridge_Trip_Site!$A$2:$A$2000,"T2024-*")</f>
        <v>2</v>
      </c>
      <c r="H22" s="10" t="n">
        <f aca="false">COUNTIFS(Bridge_Trip_Site!$B$2:$B$2000,A22,Bridge_Trip_Site!$A$2:$A$2000,"P2025-*")</f>
        <v>1</v>
      </c>
    </row>
    <row r="23" customFormat="false" ht="15" hidden="false" customHeight="true" outlineLevel="0" collapsed="false">
      <c r="A23" s="10" t="s">
        <v>712</v>
      </c>
      <c r="B23" s="10" t="s">
        <v>809</v>
      </c>
      <c r="C23" s="10" t="s">
        <v>810</v>
      </c>
      <c r="D23" s="10" t="s">
        <v>794</v>
      </c>
      <c r="E23" s="10" t="s">
        <v>766</v>
      </c>
      <c r="F23" s="10" t="s">
        <v>795</v>
      </c>
      <c r="G23" s="10" t="n">
        <f aca="false">COUNTIFS(Bridge_Trip_Site!$B$2:$B$2000,A23,Bridge_Trip_Site!$A$2:$A$2000,"T2024-*")</f>
        <v>1</v>
      </c>
      <c r="H23" s="10" t="n">
        <f aca="false">COUNTIFS(Bridge_Trip_Site!$B$2:$B$2000,A23,Bridge_Trip_Site!$A$2:$A$2000,"P2025-*")</f>
        <v>0</v>
      </c>
    </row>
    <row r="24" customFormat="false" ht="15" hidden="false" customHeight="true" outlineLevel="0" collapsed="false">
      <c r="A24" s="10" t="s">
        <v>728</v>
      </c>
      <c r="B24" s="10" t="s">
        <v>811</v>
      </c>
      <c r="C24" s="10" t="s">
        <v>812</v>
      </c>
      <c r="D24" s="10" t="s">
        <v>784</v>
      </c>
      <c r="E24" s="10" t="s">
        <v>766</v>
      </c>
      <c r="F24" s="10" t="s">
        <v>780</v>
      </c>
      <c r="G24" s="10" t="n">
        <f aca="false">COUNTIFS(Bridge_Trip_Site!$B$2:$B$2000,A24,Bridge_Trip_Site!$A$2:$A$2000,"T2024-*")</f>
        <v>1</v>
      </c>
      <c r="H24" s="10" t="n">
        <f aca="false">COUNTIFS(Bridge_Trip_Site!$B$2:$B$2000,A24,Bridge_Trip_Site!$A$2:$A$2000,"P2025-*")</f>
        <v>0</v>
      </c>
    </row>
    <row r="25" customFormat="false" ht="15" hidden="false" customHeight="true" outlineLevel="0" collapsed="false">
      <c r="A25" s="10" t="s">
        <v>682</v>
      </c>
      <c r="B25" s="10" t="s">
        <v>813</v>
      </c>
      <c r="C25" s="10" t="s">
        <v>814</v>
      </c>
      <c r="D25" s="10" t="s">
        <v>765</v>
      </c>
      <c r="E25" s="10" t="s">
        <v>815</v>
      </c>
      <c r="F25" s="10" t="s">
        <v>767</v>
      </c>
      <c r="G25" s="10" t="n">
        <f aca="false">COUNTIFS(Bridge_Trip_Site!$B$2:$B$2000,A25,Bridge_Trip_Site!$A$2:$A$2000,"T2024-*")</f>
        <v>12</v>
      </c>
      <c r="H25" s="10" t="n">
        <f aca="false">COUNTIFS(Bridge_Trip_Site!$B$2:$B$2000,A25,Bridge_Trip_Site!$A$2:$A$2000,"P2025-*")</f>
        <v>5</v>
      </c>
    </row>
    <row r="26" customFormat="false" ht="15" hidden="false" customHeight="true" outlineLevel="0" collapsed="false">
      <c r="A26" s="10" t="s">
        <v>667</v>
      </c>
      <c r="B26" s="10" t="s">
        <v>816</v>
      </c>
      <c r="C26" s="10" t="s">
        <v>817</v>
      </c>
      <c r="D26" s="10" t="s">
        <v>794</v>
      </c>
      <c r="E26" s="10" t="s">
        <v>766</v>
      </c>
      <c r="F26" s="10" t="s">
        <v>795</v>
      </c>
      <c r="G26" s="10" t="n">
        <f aca="false">COUNTIFS(Bridge_Trip_Site!$B$2:$B$2000,A26,Bridge_Trip_Site!$A$2:$A$2000,"T2024-*")</f>
        <v>6</v>
      </c>
      <c r="H26" s="10" t="n">
        <f aca="false">COUNTIFS(Bridge_Trip_Site!$B$2:$B$2000,A26,Bridge_Trip_Site!$A$2:$A$2000,"P2025-*")</f>
        <v>0</v>
      </c>
    </row>
    <row r="27" customFormat="false" ht="15" hidden="false" customHeight="true" outlineLevel="0" collapsed="false">
      <c r="A27" s="10" t="s">
        <v>741</v>
      </c>
      <c r="B27" s="10" t="s">
        <v>818</v>
      </c>
      <c r="C27" s="10" t="s">
        <v>817</v>
      </c>
      <c r="D27" s="10" t="s">
        <v>775</v>
      </c>
      <c r="E27" s="10" t="s">
        <v>766</v>
      </c>
      <c r="F27" s="10" t="s">
        <v>767</v>
      </c>
      <c r="G27" s="10" t="n">
        <f aca="false">COUNTIFS(Bridge_Trip_Site!$B$2:$B$2000,A27,Bridge_Trip_Site!$A$2:$A$2000,"T2024-*")</f>
        <v>0</v>
      </c>
      <c r="H27" s="10" t="n">
        <f aca="false">COUNTIFS(Bridge_Trip_Site!$B$2:$B$2000,A27,Bridge_Trip_Site!$A$2:$A$2000,"P2025-*")</f>
        <v>1</v>
      </c>
    </row>
    <row r="28" customFormat="false" ht="15" hidden="false" customHeight="true" outlineLevel="0" collapsed="false">
      <c r="A28" s="10" t="s">
        <v>730</v>
      </c>
      <c r="B28" s="10" t="s">
        <v>819</v>
      </c>
      <c r="C28" s="10" t="s">
        <v>817</v>
      </c>
      <c r="D28" s="10" t="s">
        <v>784</v>
      </c>
      <c r="E28" s="10" t="s">
        <v>766</v>
      </c>
      <c r="F28" s="10" t="s">
        <v>767</v>
      </c>
      <c r="G28" s="10" t="n">
        <f aca="false">COUNTIFS(Bridge_Trip_Site!$B$2:$B$2000,A28,Bridge_Trip_Site!$A$2:$A$2000,"T2024-*")</f>
        <v>0</v>
      </c>
      <c r="H28" s="10" t="n">
        <f aca="false">COUNTIFS(Bridge_Trip_Site!$B$2:$B$2000,A28,Bridge_Trip_Site!$A$2:$A$2000,"P2025-*")</f>
        <v>1</v>
      </c>
    </row>
    <row r="29" customFormat="false" ht="15" hidden="false" customHeight="true" outlineLevel="0" collapsed="false">
      <c r="A29" s="10" t="s">
        <v>742</v>
      </c>
      <c r="B29" s="10" t="s">
        <v>820</v>
      </c>
      <c r="C29" s="10" t="s">
        <v>817</v>
      </c>
      <c r="D29" s="10" t="s">
        <v>791</v>
      </c>
      <c r="E29" s="10" t="s">
        <v>766</v>
      </c>
      <c r="F29" s="10" t="s">
        <v>767</v>
      </c>
      <c r="G29" s="10" t="n">
        <f aca="false">COUNTIFS(Bridge_Trip_Site!$B$2:$B$2000,A29,Bridge_Trip_Site!$A$2:$A$2000,"T2024-*")</f>
        <v>0</v>
      </c>
      <c r="H29" s="10" t="n">
        <f aca="false">COUNTIFS(Bridge_Trip_Site!$B$2:$B$2000,A29,Bridge_Trip_Site!$A$2:$A$2000,"P2025-*")</f>
        <v>1</v>
      </c>
    </row>
    <row r="30" customFormat="false" ht="15" hidden="false" customHeight="true" outlineLevel="0" collapsed="false">
      <c r="A30" s="10" t="s">
        <v>685</v>
      </c>
      <c r="B30" s="10" t="s">
        <v>821</v>
      </c>
      <c r="C30" s="10" t="s">
        <v>817</v>
      </c>
      <c r="D30" s="10" t="s">
        <v>765</v>
      </c>
      <c r="E30" s="10" t="s">
        <v>766</v>
      </c>
      <c r="F30" s="10" t="s">
        <v>780</v>
      </c>
      <c r="G30" s="10" t="n">
        <f aca="false">COUNTIFS(Bridge_Trip_Site!$B$2:$B$2000,A30,Bridge_Trip_Site!$A$2:$A$2000,"T2024-*")</f>
        <v>1</v>
      </c>
      <c r="H30" s="10" t="n">
        <f aca="false">COUNTIFS(Bridge_Trip_Site!$B$2:$B$2000,A30,Bridge_Trip_Site!$A$2:$A$2000,"P2025-*")</f>
        <v>0</v>
      </c>
    </row>
    <row r="31" customFormat="false" ht="15" hidden="false" customHeight="true" outlineLevel="0" collapsed="false">
      <c r="A31" s="10" t="s">
        <v>695</v>
      </c>
      <c r="B31" s="10" t="s">
        <v>822</v>
      </c>
      <c r="C31" s="10" t="s">
        <v>817</v>
      </c>
      <c r="D31" s="10" t="s">
        <v>804</v>
      </c>
      <c r="E31" s="10" t="s">
        <v>766</v>
      </c>
      <c r="F31" s="10" t="s">
        <v>780</v>
      </c>
      <c r="G31" s="10" t="n">
        <f aca="false">COUNTIFS(Bridge_Trip_Site!$B$2:$B$2000,A31,Bridge_Trip_Site!$A$2:$A$2000,"T2024-*")</f>
        <v>2</v>
      </c>
      <c r="H31" s="10" t="n">
        <f aca="false">COUNTIFS(Bridge_Trip_Site!$B$2:$B$2000,A31,Bridge_Trip_Site!$A$2:$A$2000,"P2025-*")</f>
        <v>0</v>
      </c>
    </row>
    <row r="32" customFormat="false" ht="15" hidden="false" customHeight="true" outlineLevel="0" collapsed="false">
      <c r="A32" s="10" t="s">
        <v>679</v>
      </c>
      <c r="B32" s="10" t="s">
        <v>823</v>
      </c>
      <c r="C32" s="10" t="s">
        <v>824</v>
      </c>
      <c r="D32" s="10" t="s">
        <v>794</v>
      </c>
      <c r="E32" s="10" t="s">
        <v>766</v>
      </c>
      <c r="F32" s="10" t="s">
        <v>795</v>
      </c>
      <c r="G32" s="10" t="n">
        <f aca="false">COUNTIFS(Bridge_Trip_Site!$B$2:$B$2000,A32,Bridge_Trip_Site!$A$2:$A$2000,"T2024-*")</f>
        <v>1</v>
      </c>
      <c r="H32" s="10" t="n">
        <f aca="false">COUNTIFS(Bridge_Trip_Site!$B$2:$B$2000,A32,Bridge_Trip_Site!$A$2:$A$2000,"P2025-*")</f>
        <v>0</v>
      </c>
    </row>
    <row r="33" customFormat="false" ht="15" hidden="false" customHeight="true" outlineLevel="0" collapsed="false">
      <c r="A33" s="10" t="s">
        <v>727</v>
      </c>
      <c r="B33" s="10" t="s">
        <v>825</v>
      </c>
      <c r="C33" s="10" t="s">
        <v>824</v>
      </c>
      <c r="D33" s="10" t="s">
        <v>784</v>
      </c>
      <c r="E33" s="10" t="s">
        <v>766</v>
      </c>
      <c r="F33" s="10" t="s">
        <v>780</v>
      </c>
      <c r="G33" s="10" t="n">
        <f aca="false">COUNTIFS(Bridge_Trip_Site!$B$2:$B$2000,A33,Bridge_Trip_Site!$A$2:$A$2000,"T2024-*")</f>
        <v>1</v>
      </c>
      <c r="H33" s="10" t="n">
        <f aca="false">COUNTIFS(Bridge_Trip_Site!$B$2:$B$2000,A33,Bridge_Trip_Site!$A$2:$A$2000,"P2025-*")</f>
        <v>0</v>
      </c>
    </row>
    <row r="34" customFormat="false" ht="15" hidden="false" customHeight="true" outlineLevel="0" collapsed="false">
      <c r="A34" s="10" t="s">
        <v>701</v>
      </c>
      <c r="B34" s="10" t="s">
        <v>826</v>
      </c>
      <c r="C34" s="10" t="s">
        <v>827</v>
      </c>
      <c r="D34" s="10" t="s">
        <v>765</v>
      </c>
      <c r="E34" s="10" t="s">
        <v>766</v>
      </c>
      <c r="F34" s="10" t="s">
        <v>767</v>
      </c>
      <c r="G34" s="10" t="n">
        <f aca="false">COUNTIFS(Bridge_Trip_Site!$B$2:$B$2000,A34,Bridge_Trip_Site!$A$2:$A$2000,"T2024-*")</f>
        <v>1</v>
      </c>
      <c r="H34" s="10" t="n">
        <f aca="false">COUNTIFS(Bridge_Trip_Site!$B$2:$B$2000,A34,Bridge_Trip_Site!$A$2:$A$2000,"P2025-*")</f>
        <v>1</v>
      </c>
    </row>
    <row r="35" customFormat="false" ht="15" hidden="false" customHeight="true" outlineLevel="0" collapsed="false">
      <c r="A35" s="10" t="s">
        <v>650</v>
      </c>
      <c r="B35" s="10" t="s">
        <v>828</v>
      </c>
      <c r="C35" s="10" t="s">
        <v>829</v>
      </c>
      <c r="D35" s="10" t="s">
        <v>765</v>
      </c>
      <c r="E35" s="10" t="s">
        <v>830</v>
      </c>
      <c r="F35" s="10" t="s">
        <v>767</v>
      </c>
      <c r="G35" s="10" t="n">
        <f aca="false">COUNTIFS(Bridge_Trip_Site!$B$2:$B$2000,A35,Bridge_Trip_Site!$A$2:$A$2000,"T2024-*")</f>
        <v>8</v>
      </c>
      <c r="H35" s="10" t="n">
        <f aca="false">COUNTIFS(Bridge_Trip_Site!$B$2:$B$2000,A35,Bridge_Trip_Site!$A$2:$A$2000,"P2025-*")</f>
        <v>5</v>
      </c>
    </row>
    <row r="36" customFormat="false" ht="15" hidden="false" customHeight="true" outlineLevel="0" collapsed="false">
      <c r="A36" s="10" t="s">
        <v>675</v>
      </c>
      <c r="B36" s="10" t="s">
        <v>831</v>
      </c>
      <c r="C36" s="10" t="s">
        <v>832</v>
      </c>
      <c r="D36" s="10" t="s">
        <v>775</v>
      </c>
      <c r="E36" s="10" t="s">
        <v>766</v>
      </c>
      <c r="F36" s="10" t="s">
        <v>767</v>
      </c>
      <c r="G36" s="10" t="n">
        <f aca="false">COUNTIFS(Bridge_Trip_Site!$B$2:$B$2000,A36,Bridge_Trip_Site!$A$2:$A$2000,"T2024-*")</f>
        <v>2</v>
      </c>
      <c r="H36" s="10" t="n">
        <f aca="false">COUNTIFS(Bridge_Trip_Site!$B$2:$B$2000,A36,Bridge_Trip_Site!$A$2:$A$2000,"P2025-*")</f>
        <v>1</v>
      </c>
    </row>
    <row r="37" customFormat="false" ht="15" hidden="false" customHeight="true" outlineLevel="0" collapsed="false">
      <c r="A37" s="10" t="s">
        <v>725</v>
      </c>
      <c r="B37" s="10" t="s">
        <v>833</v>
      </c>
      <c r="C37" s="10" t="s">
        <v>832</v>
      </c>
      <c r="D37" s="10" t="s">
        <v>784</v>
      </c>
      <c r="E37" s="10" t="s">
        <v>766</v>
      </c>
      <c r="F37" s="10" t="s">
        <v>780</v>
      </c>
      <c r="G37" s="10" t="n">
        <f aca="false">COUNTIFS(Bridge_Trip_Site!$B$2:$B$2000,A37,Bridge_Trip_Site!$A$2:$A$2000,"T2024-*")</f>
        <v>1</v>
      </c>
      <c r="H37" s="10" t="n">
        <f aca="false">COUNTIFS(Bridge_Trip_Site!$B$2:$B$2000,A37,Bridge_Trip_Site!$A$2:$A$2000,"P2025-*")</f>
        <v>0</v>
      </c>
    </row>
    <row r="38" customFormat="false" ht="15" hidden="false" customHeight="true" outlineLevel="0" collapsed="false">
      <c r="A38" s="10" t="s">
        <v>714</v>
      </c>
      <c r="B38" s="10" t="s">
        <v>834</v>
      </c>
      <c r="C38" s="10" t="s">
        <v>835</v>
      </c>
      <c r="D38" s="10" t="s">
        <v>794</v>
      </c>
      <c r="E38" s="10" t="s">
        <v>766</v>
      </c>
      <c r="F38" s="10" t="s">
        <v>795</v>
      </c>
      <c r="G38" s="10" t="n">
        <f aca="false">COUNTIFS(Bridge_Trip_Site!$B$2:$B$2000,A38,Bridge_Trip_Site!$A$2:$A$2000,"T2024-*")</f>
        <v>2</v>
      </c>
      <c r="H38" s="10" t="n">
        <f aca="false">COUNTIFS(Bridge_Trip_Site!$B$2:$B$2000,A38,Bridge_Trip_Site!$A$2:$A$2000,"P2025-*")</f>
        <v>0</v>
      </c>
    </row>
    <row r="39" customFormat="false" ht="15" hidden="false" customHeight="true" outlineLevel="0" collapsed="false">
      <c r="A39" s="10" t="s">
        <v>681</v>
      </c>
      <c r="B39" s="10" t="s">
        <v>836</v>
      </c>
      <c r="C39" s="10" t="s">
        <v>835</v>
      </c>
      <c r="D39" s="10" t="s">
        <v>765</v>
      </c>
      <c r="E39" s="10" t="s">
        <v>830</v>
      </c>
      <c r="F39" s="10" t="s">
        <v>767</v>
      </c>
      <c r="G39" s="10" t="n">
        <f aca="false">COUNTIFS(Bridge_Trip_Site!$B$2:$B$2000,A39,Bridge_Trip_Site!$A$2:$A$2000,"T2024-*")</f>
        <v>6</v>
      </c>
      <c r="H39" s="10" t="n">
        <f aca="false">COUNTIFS(Bridge_Trip_Site!$B$2:$B$2000,A39,Bridge_Trip_Site!$A$2:$A$2000,"P2025-*")</f>
        <v>3</v>
      </c>
    </row>
    <row r="40" customFormat="false" ht="15" hidden="false" customHeight="true" outlineLevel="0" collapsed="false">
      <c r="A40" s="10" t="s">
        <v>703</v>
      </c>
      <c r="B40" s="10" t="s">
        <v>837</v>
      </c>
      <c r="C40" s="10" t="s">
        <v>838</v>
      </c>
      <c r="D40" s="10" t="s">
        <v>804</v>
      </c>
      <c r="E40" s="10" t="s">
        <v>766</v>
      </c>
      <c r="F40" s="10" t="s">
        <v>780</v>
      </c>
      <c r="G40" s="10" t="n">
        <f aca="false">COUNTIFS(Bridge_Trip_Site!$B$2:$B$2000,A40,Bridge_Trip_Site!$A$2:$A$2000,"T2024-*")</f>
        <v>1</v>
      </c>
      <c r="H40" s="10" t="n">
        <f aca="false">COUNTIFS(Bridge_Trip_Site!$B$2:$B$2000,A40,Bridge_Trip_Site!$A$2:$A$2000,"P2025-*")</f>
        <v>0</v>
      </c>
    </row>
    <row r="41" customFormat="false" ht="15" hidden="false" customHeight="true" outlineLevel="0" collapsed="false">
      <c r="A41" s="10" t="s">
        <v>720</v>
      </c>
      <c r="B41" s="10" t="s">
        <v>839</v>
      </c>
      <c r="C41" s="10" t="s">
        <v>840</v>
      </c>
      <c r="D41" s="10" t="s">
        <v>794</v>
      </c>
      <c r="E41" s="10" t="s">
        <v>766</v>
      </c>
      <c r="F41" s="10" t="s">
        <v>795</v>
      </c>
      <c r="G41" s="10" t="n">
        <f aca="false">COUNTIFS(Bridge_Trip_Site!$B$2:$B$2000,A41,Bridge_Trip_Site!$A$2:$A$2000,"T2024-*")</f>
        <v>2</v>
      </c>
      <c r="H41" s="10" t="n">
        <f aca="false">COUNTIFS(Bridge_Trip_Site!$B$2:$B$2000,A41,Bridge_Trip_Site!$A$2:$A$2000,"P2025-*")</f>
        <v>0</v>
      </c>
    </row>
    <row r="42" customFormat="false" ht="15" hidden="false" customHeight="true" outlineLevel="0" collapsed="false">
      <c r="A42" s="10" t="s">
        <v>688</v>
      </c>
      <c r="B42" s="10" t="s">
        <v>841</v>
      </c>
      <c r="C42" s="10" t="s">
        <v>840</v>
      </c>
      <c r="D42" s="10" t="s">
        <v>784</v>
      </c>
      <c r="E42" s="10" t="s">
        <v>766</v>
      </c>
      <c r="F42" s="10" t="s">
        <v>767</v>
      </c>
      <c r="G42" s="10" t="n">
        <f aca="false">COUNTIFS(Bridge_Trip_Site!$B$2:$B$2000,A42,Bridge_Trip_Site!$A$2:$A$2000,"T2024-*")</f>
        <v>2</v>
      </c>
      <c r="H42" s="10" t="n">
        <f aca="false">COUNTIFS(Bridge_Trip_Site!$B$2:$B$2000,A42,Bridge_Trip_Site!$A$2:$A$2000,"P2025-*")</f>
        <v>2</v>
      </c>
    </row>
    <row r="43" customFormat="false" ht="15" hidden="false" customHeight="true" outlineLevel="0" collapsed="false">
      <c r="A43" s="10" t="s">
        <v>732</v>
      </c>
      <c r="B43" s="10" t="s">
        <v>842</v>
      </c>
      <c r="C43" s="10" t="s">
        <v>840</v>
      </c>
      <c r="D43" s="10" t="s">
        <v>843</v>
      </c>
      <c r="E43" s="10" t="s">
        <v>766</v>
      </c>
      <c r="F43" s="10" t="s">
        <v>767</v>
      </c>
      <c r="G43" s="10" t="n">
        <f aca="false">COUNTIFS(Bridge_Trip_Site!$B$2:$B$2000,A43,Bridge_Trip_Site!$A$2:$A$2000,"T2024-*")</f>
        <v>0</v>
      </c>
      <c r="H43" s="10" t="n">
        <f aca="false">COUNTIFS(Bridge_Trip_Site!$B$2:$B$2000,A43,Bridge_Trip_Site!$A$2:$A$2000,"P2025-*")</f>
        <v>1</v>
      </c>
    </row>
    <row r="44" customFormat="false" ht="15" hidden="false" customHeight="true" outlineLevel="0" collapsed="false">
      <c r="A44" s="10" t="s">
        <v>710</v>
      </c>
      <c r="B44" s="10" t="s">
        <v>844</v>
      </c>
      <c r="C44" s="10" t="s">
        <v>840</v>
      </c>
      <c r="D44" s="10" t="s">
        <v>765</v>
      </c>
      <c r="E44" s="10" t="s">
        <v>766</v>
      </c>
      <c r="F44" s="10" t="s">
        <v>780</v>
      </c>
      <c r="G44" s="10" t="n">
        <f aca="false">COUNTIFS(Bridge_Trip_Site!$B$2:$B$2000,A44,Bridge_Trip_Site!$A$2:$A$2000,"T2024-*")</f>
        <v>2</v>
      </c>
      <c r="H44" s="10" t="n">
        <f aca="false">COUNTIFS(Bridge_Trip_Site!$B$2:$B$2000,A44,Bridge_Trip_Site!$A$2:$A$2000,"P2025-*")</f>
        <v>0</v>
      </c>
    </row>
    <row r="45" customFormat="false" ht="15" hidden="false" customHeight="true" outlineLevel="0" collapsed="false">
      <c r="A45" s="10" t="s">
        <v>655</v>
      </c>
      <c r="B45" s="10" t="s">
        <v>845</v>
      </c>
      <c r="C45" s="10" t="s">
        <v>846</v>
      </c>
      <c r="D45" s="10" t="s">
        <v>791</v>
      </c>
      <c r="E45" s="10" t="s">
        <v>766</v>
      </c>
      <c r="F45" s="10" t="s">
        <v>767</v>
      </c>
      <c r="G45" s="10" t="n">
        <f aca="false">COUNTIFS(Bridge_Trip_Site!$B$2:$B$2000,A45,Bridge_Trip_Site!$A$2:$A$2000,"T2024-*")</f>
        <v>3</v>
      </c>
      <c r="H45" s="10" t="n">
        <f aca="false">COUNTIFS(Bridge_Trip_Site!$B$2:$B$2000,A45,Bridge_Trip_Site!$A$2:$A$2000,"P2025-*")</f>
        <v>1</v>
      </c>
    </row>
    <row r="46" customFormat="false" ht="15" hidden="false" customHeight="true" outlineLevel="0" collapsed="false">
      <c r="A46" s="10" t="s">
        <v>743</v>
      </c>
      <c r="B46" s="10" t="s">
        <v>847</v>
      </c>
      <c r="C46" s="10" t="s">
        <v>848</v>
      </c>
      <c r="D46" s="10" t="s">
        <v>791</v>
      </c>
      <c r="E46" s="10" t="s">
        <v>766</v>
      </c>
      <c r="F46" s="10" t="s">
        <v>767</v>
      </c>
      <c r="G46" s="10" t="n">
        <f aca="false">COUNTIFS(Bridge_Trip_Site!$B$2:$B$2000,A46,Bridge_Trip_Site!$A$2:$A$2000,"T2024-*")</f>
        <v>0</v>
      </c>
      <c r="H46" s="10" t="n">
        <f aca="false">COUNTIFS(Bridge_Trip_Site!$B$2:$B$2000,A46,Bridge_Trip_Site!$A$2:$A$2000,"P2025-*")</f>
        <v>1</v>
      </c>
    </row>
    <row r="47" customFormat="false" ht="15" hidden="false" customHeight="true" outlineLevel="0" collapsed="false">
      <c r="A47" s="10" t="s">
        <v>661</v>
      </c>
      <c r="B47" s="10" t="s">
        <v>849</v>
      </c>
      <c r="C47" s="10" t="s">
        <v>850</v>
      </c>
      <c r="D47" s="10" t="s">
        <v>775</v>
      </c>
      <c r="E47" s="10" t="s">
        <v>766</v>
      </c>
      <c r="F47" s="10" t="s">
        <v>767</v>
      </c>
      <c r="G47" s="10" t="n">
        <f aca="false">COUNTIFS(Bridge_Trip_Site!$B$2:$B$2000,A47,Bridge_Trip_Site!$A$2:$A$2000,"T2024-*")</f>
        <v>3</v>
      </c>
      <c r="H47" s="10" t="n">
        <f aca="false">COUNTIFS(Bridge_Trip_Site!$B$2:$B$2000,A47,Bridge_Trip_Site!$A$2:$A$2000,"P2025-*")</f>
        <v>1</v>
      </c>
    </row>
    <row r="48" customFormat="false" ht="15" hidden="false" customHeight="true" outlineLevel="0" collapsed="false">
      <c r="A48" s="10" t="s">
        <v>665</v>
      </c>
      <c r="B48" s="10" t="s">
        <v>851</v>
      </c>
      <c r="C48" s="10" t="s">
        <v>852</v>
      </c>
      <c r="D48" s="10" t="s">
        <v>791</v>
      </c>
      <c r="E48" s="10" t="s">
        <v>766</v>
      </c>
      <c r="F48" s="10" t="s">
        <v>767</v>
      </c>
      <c r="G48" s="10" t="n">
        <f aca="false">COUNTIFS(Bridge_Trip_Site!$B$2:$B$2000,A48,Bridge_Trip_Site!$A$2:$A$2000,"T2024-*")</f>
        <v>4</v>
      </c>
      <c r="H48" s="10" t="n">
        <f aca="false">COUNTIFS(Bridge_Trip_Site!$B$2:$B$2000,A48,Bridge_Trip_Site!$A$2:$A$2000,"P2025-*")</f>
        <v>1</v>
      </c>
    </row>
    <row r="49" customFormat="false" ht="15" hidden="false" customHeight="true" outlineLevel="0" collapsed="false">
      <c r="A49" s="10" t="s">
        <v>664</v>
      </c>
      <c r="B49" s="10" t="s">
        <v>853</v>
      </c>
      <c r="C49" s="10" t="s">
        <v>854</v>
      </c>
      <c r="D49" s="10" t="s">
        <v>775</v>
      </c>
      <c r="E49" s="10" t="s">
        <v>766</v>
      </c>
      <c r="F49" s="10" t="s">
        <v>767</v>
      </c>
      <c r="G49" s="10" t="n">
        <f aca="false">COUNTIFS(Bridge_Trip_Site!$B$2:$B$2000,A49,Bridge_Trip_Site!$A$2:$A$2000,"T2024-*")</f>
        <v>3</v>
      </c>
      <c r="H49" s="10" t="n">
        <f aca="false">COUNTIFS(Bridge_Trip_Site!$B$2:$B$2000,A49,Bridge_Trip_Site!$A$2:$A$2000,"P2025-*")</f>
        <v>1</v>
      </c>
    </row>
    <row r="50" customFormat="false" ht="15" hidden="false" customHeight="true" outlineLevel="0" collapsed="false">
      <c r="A50" s="10" t="s">
        <v>715</v>
      </c>
      <c r="B50" s="10" t="s">
        <v>855</v>
      </c>
      <c r="C50" s="10" t="s">
        <v>856</v>
      </c>
      <c r="D50" s="10" t="s">
        <v>794</v>
      </c>
      <c r="E50" s="10" t="s">
        <v>766</v>
      </c>
      <c r="F50" s="10" t="s">
        <v>795</v>
      </c>
      <c r="G50" s="10" t="n">
        <f aca="false">COUNTIFS(Bridge_Trip_Site!$B$2:$B$2000,A50,Bridge_Trip_Site!$A$2:$A$2000,"T2024-*")</f>
        <v>1</v>
      </c>
      <c r="H50" s="10" t="n">
        <f aca="false">COUNTIFS(Bridge_Trip_Site!$B$2:$B$2000,A50,Bridge_Trip_Site!$A$2:$A$2000,"P2025-*")</f>
        <v>0</v>
      </c>
    </row>
    <row r="51" customFormat="false" ht="15" hidden="false" customHeight="true" outlineLevel="0" collapsed="false">
      <c r="A51" s="10" t="s">
        <v>658</v>
      </c>
      <c r="B51" s="10" t="s">
        <v>857</v>
      </c>
      <c r="C51" s="10" t="s">
        <v>856</v>
      </c>
      <c r="D51" s="10" t="s">
        <v>791</v>
      </c>
      <c r="E51" s="10" t="s">
        <v>766</v>
      </c>
      <c r="F51" s="10" t="s">
        <v>767</v>
      </c>
      <c r="G51" s="10" t="n">
        <f aca="false">COUNTIFS(Bridge_Trip_Site!$B$2:$B$2000,A51,Bridge_Trip_Site!$A$2:$A$2000,"T2024-*")</f>
        <v>3</v>
      </c>
      <c r="H51" s="10" t="n">
        <f aca="false">COUNTIFS(Bridge_Trip_Site!$B$2:$B$2000,A51,Bridge_Trip_Site!$A$2:$A$2000,"P2025-*")</f>
        <v>1</v>
      </c>
    </row>
    <row r="52" customFormat="false" ht="15" hidden="false" customHeight="true" outlineLevel="0" collapsed="false">
      <c r="A52" s="10" t="s">
        <v>699</v>
      </c>
      <c r="B52" s="10" t="s">
        <v>858</v>
      </c>
      <c r="C52" s="10" t="s">
        <v>856</v>
      </c>
      <c r="D52" s="10" t="s">
        <v>765</v>
      </c>
      <c r="E52" s="10" t="s">
        <v>766</v>
      </c>
      <c r="F52" s="10" t="s">
        <v>767</v>
      </c>
      <c r="G52" s="10" t="n">
        <f aca="false">COUNTIFS(Bridge_Trip_Site!$B$2:$B$2000,A52,Bridge_Trip_Site!$A$2:$A$2000,"T2024-*")</f>
        <v>1</v>
      </c>
      <c r="H52" s="10" t="n">
        <f aca="false">COUNTIFS(Bridge_Trip_Site!$B$2:$B$2000,A52,Bridge_Trip_Site!$A$2:$A$2000,"P2025-*")</f>
        <v>1</v>
      </c>
    </row>
    <row r="53" customFormat="false" ht="15" hidden="false" customHeight="true" outlineLevel="0" collapsed="false">
      <c r="A53" s="10" t="s">
        <v>659</v>
      </c>
      <c r="B53" s="10" t="s">
        <v>859</v>
      </c>
      <c r="C53" s="10" t="s">
        <v>860</v>
      </c>
      <c r="D53" s="10" t="s">
        <v>794</v>
      </c>
      <c r="E53" s="10" t="s">
        <v>766</v>
      </c>
      <c r="F53" s="10" t="s">
        <v>795</v>
      </c>
      <c r="G53" s="10" t="n">
        <f aca="false">COUNTIFS(Bridge_Trip_Site!$B$2:$B$2000,A53,Bridge_Trip_Site!$A$2:$A$2000,"T2024-*")</f>
        <v>2</v>
      </c>
      <c r="H53" s="10" t="n">
        <f aca="false">COUNTIFS(Bridge_Trip_Site!$B$2:$B$2000,A53,Bridge_Trip_Site!$A$2:$A$2000,"P2025-*")</f>
        <v>0</v>
      </c>
    </row>
    <row r="54" customFormat="false" ht="15" hidden="false" customHeight="true" outlineLevel="0" collapsed="false">
      <c r="A54" s="10" t="s">
        <v>744</v>
      </c>
      <c r="B54" s="10" t="s">
        <v>861</v>
      </c>
      <c r="C54" s="10" t="s">
        <v>860</v>
      </c>
      <c r="D54" s="10" t="s">
        <v>775</v>
      </c>
      <c r="E54" s="10" t="s">
        <v>766</v>
      </c>
      <c r="F54" s="10" t="s">
        <v>767</v>
      </c>
      <c r="G54" s="10" t="n">
        <f aca="false">COUNTIFS(Bridge_Trip_Site!$B$2:$B$2000,A54,Bridge_Trip_Site!$A$2:$A$2000,"T2024-*")</f>
        <v>0</v>
      </c>
      <c r="H54" s="10" t="n">
        <f aca="false">COUNTIFS(Bridge_Trip_Site!$B$2:$B$2000,A54,Bridge_Trip_Site!$A$2:$A$2000,"P2025-*")</f>
        <v>1</v>
      </c>
    </row>
    <row r="55" customFormat="false" ht="15" hidden="false" customHeight="true" outlineLevel="0" collapsed="false">
      <c r="A55" s="10" t="s">
        <v>697</v>
      </c>
      <c r="B55" s="10" t="s">
        <v>862</v>
      </c>
      <c r="C55" s="10" t="s">
        <v>860</v>
      </c>
      <c r="D55" s="10" t="s">
        <v>770</v>
      </c>
      <c r="E55" s="10" t="s">
        <v>766</v>
      </c>
      <c r="F55" s="10" t="s">
        <v>767</v>
      </c>
      <c r="G55" s="10" t="n">
        <f aca="false">COUNTIFS(Bridge_Trip_Site!$B$2:$B$2000,A55,Bridge_Trip_Site!$A$2:$A$2000,"T2024-*")</f>
        <v>2</v>
      </c>
      <c r="H55" s="10" t="n">
        <f aca="false">COUNTIFS(Bridge_Trip_Site!$B$2:$B$2000,A55,Bridge_Trip_Site!$A$2:$A$2000,"P2025-*")</f>
        <v>1</v>
      </c>
    </row>
    <row r="56" customFormat="false" ht="15" hidden="false" customHeight="true" outlineLevel="0" collapsed="false">
      <c r="A56" s="10" t="s">
        <v>678</v>
      </c>
      <c r="B56" s="10" t="s">
        <v>863</v>
      </c>
      <c r="C56" s="10" t="s">
        <v>864</v>
      </c>
      <c r="D56" s="10" t="s">
        <v>784</v>
      </c>
      <c r="E56" s="10" t="s">
        <v>766</v>
      </c>
      <c r="F56" s="10" t="s">
        <v>767</v>
      </c>
      <c r="G56" s="10" t="n">
        <f aca="false">COUNTIFS(Bridge_Trip_Site!$B$2:$B$2000,A56,Bridge_Trip_Site!$A$2:$A$2000,"T2024-*")</f>
        <v>3</v>
      </c>
      <c r="H56" s="10" t="n">
        <f aca="false">COUNTIFS(Bridge_Trip_Site!$B$2:$B$2000,A56,Bridge_Trip_Site!$A$2:$A$2000,"P2025-*")</f>
        <v>1</v>
      </c>
    </row>
    <row r="57" customFormat="false" ht="15" hidden="false" customHeight="true" outlineLevel="0" collapsed="false">
      <c r="A57" s="10" t="s">
        <v>702</v>
      </c>
      <c r="B57" s="10" t="s">
        <v>865</v>
      </c>
      <c r="C57" s="10" t="s">
        <v>864</v>
      </c>
      <c r="D57" s="10" t="s">
        <v>804</v>
      </c>
      <c r="E57" s="10" t="s">
        <v>766</v>
      </c>
      <c r="F57" s="10" t="s">
        <v>780</v>
      </c>
      <c r="G57" s="10" t="n">
        <f aca="false">COUNTIFS(Bridge_Trip_Site!$B$2:$B$2000,A57,Bridge_Trip_Site!$A$2:$A$2000,"T2024-*")</f>
        <v>2</v>
      </c>
      <c r="H57" s="10" t="n">
        <f aca="false">COUNTIFS(Bridge_Trip_Site!$B$2:$B$2000,A57,Bridge_Trip_Site!$A$2:$A$2000,"P2025-*")</f>
        <v>0</v>
      </c>
    </row>
    <row r="58" customFormat="false" ht="15" hidden="false" customHeight="true" outlineLevel="0" collapsed="false">
      <c r="A58" s="10" t="s">
        <v>690</v>
      </c>
      <c r="B58" s="10" t="s">
        <v>866</v>
      </c>
      <c r="C58" s="10" t="s">
        <v>867</v>
      </c>
      <c r="D58" s="10" t="s">
        <v>770</v>
      </c>
      <c r="E58" s="10" t="s">
        <v>766</v>
      </c>
      <c r="F58" s="10" t="s">
        <v>767</v>
      </c>
      <c r="G58" s="10" t="n">
        <f aca="false">COUNTIFS(Bridge_Trip_Site!$B$2:$B$2000,A58,Bridge_Trip_Site!$A$2:$A$2000,"T2024-*")</f>
        <v>2</v>
      </c>
      <c r="H58" s="10" t="n">
        <f aca="false">COUNTIFS(Bridge_Trip_Site!$B$2:$B$2000,A58,Bridge_Trip_Site!$A$2:$A$2000,"P2025-*")</f>
        <v>1</v>
      </c>
    </row>
    <row r="59" customFormat="false" ht="15" hidden="false" customHeight="true" outlineLevel="0" collapsed="false">
      <c r="A59" s="10" t="s">
        <v>653</v>
      </c>
      <c r="B59" s="10" t="s">
        <v>868</v>
      </c>
      <c r="C59" s="10" t="s">
        <v>869</v>
      </c>
      <c r="D59" s="10" t="s">
        <v>775</v>
      </c>
      <c r="E59" s="10" t="s">
        <v>766</v>
      </c>
      <c r="F59" s="10" t="s">
        <v>767</v>
      </c>
      <c r="G59" s="10" t="n">
        <f aca="false">COUNTIFS(Bridge_Trip_Site!$B$2:$B$2000,A59,Bridge_Trip_Site!$A$2:$A$2000,"T2024-*")</f>
        <v>4</v>
      </c>
      <c r="H59" s="10" t="n">
        <f aca="false">COUNTIFS(Bridge_Trip_Site!$B$2:$B$2000,A59,Bridge_Trip_Site!$A$2:$A$2000,"P2025-*")</f>
        <v>1</v>
      </c>
    </row>
    <row r="60" customFormat="false" ht="15" hidden="false" customHeight="true" outlineLevel="0" collapsed="false">
      <c r="A60" s="10" t="s">
        <v>721</v>
      </c>
      <c r="B60" s="10" t="s">
        <v>870</v>
      </c>
      <c r="C60" s="10" t="s">
        <v>869</v>
      </c>
      <c r="D60" s="10" t="s">
        <v>784</v>
      </c>
      <c r="E60" s="10" t="s">
        <v>766</v>
      </c>
      <c r="F60" s="10" t="s">
        <v>780</v>
      </c>
      <c r="G60" s="10" t="n">
        <f aca="false">COUNTIFS(Bridge_Trip_Site!$B$2:$B$2000,A60,Bridge_Trip_Site!$A$2:$A$2000,"T2024-*")</f>
        <v>1</v>
      </c>
      <c r="H60" s="10" t="n">
        <f aca="false">COUNTIFS(Bridge_Trip_Site!$B$2:$B$2000,A60,Bridge_Trip_Site!$A$2:$A$2000,"P2025-*")</f>
        <v>0</v>
      </c>
    </row>
    <row r="61" customFormat="false" ht="15" hidden="false" customHeight="true" outlineLevel="0" collapsed="false">
      <c r="A61" s="10" t="s">
        <v>705</v>
      </c>
      <c r="B61" s="10" t="s">
        <v>871</v>
      </c>
      <c r="C61" s="10" t="s">
        <v>869</v>
      </c>
      <c r="D61" s="10" t="s">
        <v>804</v>
      </c>
      <c r="E61" s="10" t="s">
        <v>766</v>
      </c>
      <c r="F61" s="10" t="s">
        <v>780</v>
      </c>
      <c r="G61" s="10" t="n">
        <f aca="false">COUNTIFS(Bridge_Trip_Site!$B$2:$B$2000,A61,Bridge_Trip_Site!$A$2:$A$2000,"T2024-*")</f>
        <v>1</v>
      </c>
      <c r="H61" s="10" t="n">
        <f aca="false">COUNTIFS(Bridge_Trip_Site!$B$2:$B$2000,A61,Bridge_Trip_Site!$A$2:$A$2000,"P2025-*")</f>
        <v>0</v>
      </c>
    </row>
    <row r="62" customFormat="false" ht="15" hidden="false" customHeight="true" outlineLevel="0" collapsed="false">
      <c r="A62" s="10" t="s">
        <v>652</v>
      </c>
      <c r="B62" s="10" t="s">
        <v>872</v>
      </c>
      <c r="C62" s="10" t="s">
        <v>873</v>
      </c>
      <c r="D62" s="10" t="s">
        <v>794</v>
      </c>
      <c r="E62" s="10" t="s">
        <v>766</v>
      </c>
      <c r="F62" s="10" t="s">
        <v>795</v>
      </c>
      <c r="G62" s="10" t="n">
        <f aca="false">COUNTIFS(Bridge_Trip_Site!$B$2:$B$2000,A62,Bridge_Trip_Site!$A$2:$A$2000,"T2024-*")</f>
        <v>6</v>
      </c>
      <c r="H62" s="10" t="n">
        <f aca="false">COUNTIFS(Bridge_Trip_Site!$B$2:$B$2000,A62,Bridge_Trip_Site!$A$2:$A$2000,"P2025-*")</f>
        <v>0</v>
      </c>
    </row>
    <row r="63" customFormat="false" ht="15" hidden="false" customHeight="true" outlineLevel="0" collapsed="false">
      <c r="A63" s="10" t="s">
        <v>745</v>
      </c>
      <c r="B63" s="10" t="s">
        <v>874</v>
      </c>
      <c r="C63" s="10" t="s">
        <v>873</v>
      </c>
      <c r="D63" s="10" t="s">
        <v>784</v>
      </c>
      <c r="E63" s="10" t="s">
        <v>766</v>
      </c>
      <c r="F63" s="10" t="s">
        <v>767</v>
      </c>
      <c r="G63" s="10" t="n">
        <f aca="false">COUNTIFS(Bridge_Trip_Site!$B$2:$B$2000,A63,Bridge_Trip_Site!$A$2:$A$2000,"T2024-*")</f>
        <v>0</v>
      </c>
      <c r="H63" s="10" t="n">
        <f aca="false">COUNTIFS(Bridge_Trip_Site!$B$2:$B$2000,A63,Bridge_Trip_Site!$A$2:$A$2000,"P2025-*")</f>
        <v>1</v>
      </c>
    </row>
    <row r="64" customFormat="false" ht="15" hidden="false" customHeight="true" outlineLevel="0" collapsed="false">
      <c r="A64" s="10" t="s">
        <v>683</v>
      </c>
      <c r="B64" s="10" t="s">
        <v>875</v>
      </c>
      <c r="C64" s="10" t="s">
        <v>873</v>
      </c>
      <c r="D64" s="10" t="s">
        <v>765</v>
      </c>
      <c r="E64" s="10" t="s">
        <v>766</v>
      </c>
      <c r="F64" s="10" t="s">
        <v>767</v>
      </c>
      <c r="G64" s="10" t="n">
        <f aca="false">COUNTIFS(Bridge_Trip_Site!$B$2:$B$2000,A64,Bridge_Trip_Site!$A$2:$A$2000,"T2024-*")</f>
        <v>4</v>
      </c>
      <c r="H64" s="10" t="n">
        <f aca="false">COUNTIFS(Bridge_Trip_Site!$B$2:$B$2000,A64,Bridge_Trip_Site!$A$2:$A$2000,"P2025-*")</f>
        <v>3</v>
      </c>
    </row>
    <row r="65" customFormat="false" ht="15" hidden="false" customHeight="true" outlineLevel="0" collapsed="false">
      <c r="A65" s="10" t="s">
        <v>700</v>
      </c>
      <c r="B65" s="10" t="s">
        <v>876</v>
      </c>
      <c r="C65" s="10" t="s">
        <v>873</v>
      </c>
      <c r="D65" s="10" t="s">
        <v>804</v>
      </c>
      <c r="E65" s="10" t="s">
        <v>766</v>
      </c>
      <c r="F65" s="10" t="s">
        <v>780</v>
      </c>
      <c r="G65" s="10" t="n">
        <f aca="false">COUNTIFS(Bridge_Trip_Site!$B$2:$B$2000,A65,Bridge_Trip_Site!$A$2:$A$2000,"T2024-*")</f>
        <v>3</v>
      </c>
      <c r="H65" s="10" t="n">
        <f aca="false">COUNTIFS(Bridge_Trip_Site!$B$2:$B$2000,A65,Bridge_Trip_Site!$A$2:$A$2000,"P2025-*")</f>
        <v>0</v>
      </c>
    </row>
    <row r="66" customFormat="false" ht="15" hidden="false" customHeight="true" outlineLevel="0" collapsed="false">
      <c r="A66" s="10" t="s">
        <v>709</v>
      </c>
      <c r="B66" s="10" t="s">
        <v>877</v>
      </c>
      <c r="C66" s="10" t="s">
        <v>873</v>
      </c>
      <c r="D66" s="10" t="s">
        <v>878</v>
      </c>
      <c r="E66" s="10" t="s">
        <v>766</v>
      </c>
      <c r="F66" s="10" t="s">
        <v>780</v>
      </c>
      <c r="G66" s="10" t="n">
        <f aca="false">COUNTIFS(Bridge_Trip_Site!$B$2:$B$2000,A66,Bridge_Trip_Site!$A$2:$A$2000,"T2024-*")</f>
        <v>1</v>
      </c>
      <c r="H66" s="10" t="n">
        <f aca="false">COUNTIFS(Bridge_Trip_Site!$B$2:$B$2000,A66,Bridge_Trip_Site!$A$2:$A$2000,"P2025-*")</f>
        <v>0</v>
      </c>
    </row>
    <row r="67" customFormat="false" ht="15" hidden="false" customHeight="true" outlineLevel="0" collapsed="false">
      <c r="A67" s="10" t="s">
        <v>686</v>
      </c>
      <c r="B67" s="10" t="s">
        <v>879</v>
      </c>
      <c r="C67" s="10" t="s">
        <v>880</v>
      </c>
      <c r="D67" s="10" t="s">
        <v>765</v>
      </c>
      <c r="E67" s="10" t="s">
        <v>766</v>
      </c>
      <c r="F67" s="10" t="s">
        <v>767</v>
      </c>
      <c r="G67" s="10" t="n">
        <f aca="false">COUNTIFS(Bridge_Trip_Site!$B$2:$B$2000,A67,Bridge_Trip_Site!$A$2:$A$2000,"T2024-*")</f>
        <v>7</v>
      </c>
      <c r="H67" s="10" t="n">
        <f aca="false">COUNTIFS(Bridge_Trip_Site!$B$2:$B$2000,A67,Bridge_Trip_Site!$A$2:$A$2000,"P2025-*")</f>
        <v>3</v>
      </c>
    </row>
    <row r="68" customFormat="false" ht="15" hidden="false" customHeight="true" outlineLevel="0" collapsed="false">
      <c r="A68" s="10" t="s">
        <v>651</v>
      </c>
      <c r="B68" s="10" t="s">
        <v>881</v>
      </c>
      <c r="C68" s="10" t="s">
        <v>882</v>
      </c>
      <c r="D68" s="10" t="s">
        <v>765</v>
      </c>
      <c r="E68" s="10" t="s">
        <v>766</v>
      </c>
      <c r="F68" s="10" t="s">
        <v>767</v>
      </c>
      <c r="G68" s="10" t="n">
        <f aca="false">COUNTIFS(Bridge_Trip_Site!$B$2:$B$2000,A68,Bridge_Trip_Site!$A$2:$A$2000,"T2024-*")</f>
        <v>4</v>
      </c>
      <c r="H68" s="10" t="n">
        <f aca="false">COUNTIFS(Bridge_Trip_Site!$B$2:$B$2000,A68,Bridge_Trip_Site!$A$2:$A$2000,"P2025-*")</f>
        <v>3</v>
      </c>
    </row>
    <row r="69" customFormat="false" ht="15" hidden="false" customHeight="true" outlineLevel="0" collapsed="false">
      <c r="A69" s="10" t="s">
        <v>656</v>
      </c>
      <c r="B69" s="10" t="s">
        <v>883</v>
      </c>
      <c r="C69" s="10" t="s">
        <v>884</v>
      </c>
      <c r="D69" s="10" t="s">
        <v>775</v>
      </c>
      <c r="E69" s="10" t="s">
        <v>766</v>
      </c>
      <c r="F69" s="10" t="s">
        <v>767</v>
      </c>
      <c r="G69" s="10" t="n">
        <f aca="false">COUNTIFS(Bridge_Trip_Site!$B$2:$B$2000,A69,Bridge_Trip_Site!$A$2:$A$2000,"T2024-*")</f>
        <v>3</v>
      </c>
      <c r="H69" s="10" t="n">
        <f aca="false">COUNTIFS(Bridge_Trip_Site!$B$2:$B$2000,A69,Bridge_Trip_Site!$A$2:$A$2000,"P2025-*")</f>
        <v>1</v>
      </c>
    </row>
    <row r="70" customFormat="false" ht="15" hidden="false" customHeight="true" outlineLevel="0" collapsed="false">
      <c r="A70" s="10" t="s">
        <v>666</v>
      </c>
      <c r="B70" s="10" t="s">
        <v>885</v>
      </c>
      <c r="C70" s="10" t="s">
        <v>886</v>
      </c>
      <c r="D70" s="10" t="s">
        <v>794</v>
      </c>
      <c r="E70" s="10" t="s">
        <v>766</v>
      </c>
      <c r="F70" s="10" t="s">
        <v>795</v>
      </c>
      <c r="G70" s="10" t="n">
        <f aca="false">COUNTIFS(Bridge_Trip_Site!$B$2:$B$2000,A70,Bridge_Trip_Site!$A$2:$A$2000,"T2024-*")</f>
        <v>1</v>
      </c>
      <c r="H70" s="10" t="n">
        <f aca="false">COUNTIFS(Bridge_Trip_Site!$B$2:$B$2000,A70,Bridge_Trip_Site!$A$2:$A$2000,"P2025-*")</f>
        <v>0</v>
      </c>
    </row>
    <row r="71" customFormat="false" ht="15" hidden="false" customHeight="true" outlineLevel="0" collapsed="false">
      <c r="A71" s="10" t="s">
        <v>723</v>
      </c>
      <c r="B71" s="10" t="s">
        <v>887</v>
      </c>
      <c r="C71" s="10" t="s">
        <v>886</v>
      </c>
      <c r="D71" s="10" t="s">
        <v>784</v>
      </c>
      <c r="E71" s="10" t="s">
        <v>766</v>
      </c>
      <c r="F71" s="10" t="s">
        <v>780</v>
      </c>
      <c r="G71" s="10" t="n">
        <f aca="false">COUNTIFS(Bridge_Trip_Site!$B$2:$B$2000,A71,Bridge_Trip_Site!$A$2:$A$2000,"T2024-*")</f>
        <v>1</v>
      </c>
      <c r="H71" s="10" t="n">
        <f aca="false">COUNTIFS(Bridge_Trip_Site!$B$2:$B$2000,A71,Bridge_Trip_Site!$A$2:$A$2000,"P2025-*")</f>
        <v>0</v>
      </c>
    </row>
    <row r="72" customFormat="false" ht="15" hidden="false" customHeight="true" outlineLevel="0" collapsed="false">
      <c r="A72" s="10" t="s">
        <v>706</v>
      </c>
      <c r="B72" s="10" t="s">
        <v>888</v>
      </c>
      <c r="C72" s="10" t="s">
        <v>889</v>
      </c>
      <c r="D72" s="10" t="s">
        <v>765</v>
      </c>
      <c r="E72" s="10" t="s">
        <v>766</v>
      </c>
      <c r="F72" s="10" t="s">
        <v>767</v>
      </c>
      <c r="G72" s="10" t="n">
        <f aca="false">COUNTIFS(Bridge_Trip_Site!$B$2:$B$2000,A72,Bridge_Trip_Site!$A$2:$A$2000,"T2024-*")</f>
        <v>3</v>
      </c>
      <c r="H72" s="10" t="n">
        <f aca="false">COUNTIFS(Bridge_Trip_Site!$B$2:$B$2000,A72,Bridge_Trip_Site!$A$2:$A$2000,"P2025-*")</f>
        <v>2</v>
      </c>
    </row>
    <row r="73" customFormat="false" ht="15" hidden="false" customHeight="true" outlineLevel="0" collapsed="false">
      <c r="A73" s="10" t="s">
        <v>669</v>
      </c>
      <c r="B73" s="10" t="s">
        <v>890</v>
      </c>
      <c r="C73" s="10" t="s">
        <v>891</v>
      </c>
      <c r="D73" s="10" t="s">
        <v>775</v>
      </c>
      <c r="E73" s="10" t="s">
        <v>766</v>
      </c>
      <c r="F73" s="10" t="s">
        <v>767</v>
      </c>
      <c r="G73" s="10" t="n">
        <f aca="false">COUNTIFS(Bridge_Trip_Site!$B$2:$B$2000,A73,Bridge_Trip_Site!$A$2:$A$2000,"T2024-*")</f>
        <v>3</v>
      </c>
      <c r="H73" s="10" t="n">
        <f aca="false">COUNTIFS(Bridge_Trip_Site!$B$2:$B$2000,A73,Bridge_Trip_Site!$A$2:$A$2000,"P2025-*")</f>
        <v>1</v>
      </c>
    </row>
    <row r="74" customFormat="false" ht="15" hidden="false" customHeight="true" outlineLevel="0" collapsed="false">
      <c r="A74" s="10" t="s">
        <v>719</v>
      </c>
      <c r="B74" s="10" t="s">
        <v>892</v>
      </c>
      <c r="C74" s="10" t="s">
        <v>893</v>
      </c>
      <c r="D74" s="10" t="s">
        <v>794</v>
      </c>
      <c r="E74" s="10" t="s">
        <v>766</v>
      </c>
      <c r="F74" s="10" t="s">
        <v>795</v>
      </c>
      <c r="G74" s="10" t="n">
        <f aca="false">COUNTIFS(Bridge_Trip_Site!$B$2:$B$2000,A74,Bridge_Trip_Site!$A$2:$A$2000,"T2024-*")</f>
        <v>2</v>
      </c>
      <c r="H74" s="10" t="n">
        <f aca="false">COUNTIFS(Bridge_Trip_Site!$B$2:$B$2000,A74,Bridge_Trip_Site!$A$2:$A$2000,"P2025-*")</f>
        <v>0</v>
      </c>
    </row>
    <row r="75" customFormat="false" ht="15" hidden="false" customHeight="true" outlineLevel="0" collapsed="false">
      <c r="A75" s="10" t="s">
        <v>689</v>
      </c>
      <c r="B75" s="10" t="s">
        <v>894</v>
      </c>
      <c r="C75" s="10" t="s">
        <v>893</v>
      </c>
      <c r="D75" s="10" t="s">
        <v>770</v>
      </c>
      <c r="E75" s="10" t="s">
        <v>766</v>
      </c>
      <c r="F75" s="10" t="s">
        <v>767</v>
      </c>
      <c r="G75" s="10" t="n">
        <f aca="false">COUNTIFS(Bridge_Trip_Site!$B$2:$B$2000,A75,Bridge_Trip_Site!$A$2:$A$2000,"T2024-*")</f>
        <v>2</v>
      </c>
      <c r="H75" s="10" t="n">
        <f aca="false">COUNTIFS(Bridge_Trip_Site!$B$2:$B$2000,A75,Bridge_Trip_Site!$A$2:$A$2000,"P2025-*")</f>
        <v>1</v>
      </c>
    </row>
    <row r="76" customFormat="false" ht="15" hidden="false" customHeight="true" outlineLevel="0" collapsed="false">
      <c r="A76" s="10" t="s">
        <v>684</v>
      </c>
      <c r="B76" s="10" t="s">
        <v>895</v>
      </c>
      <c r="C76" s="10" t="s">
        <v>893</v>
      </c>
      <c r="D76" s="10" t="s">
        <v>878</v>
      </c>
      <c r="E76" s="10" t="s">
        <v>766</v>
      </c>
      <c r="F76" s="10" t="s">
        <v>767</v>
      </c>
      <c r="G76" s="10" t="n">
        <f aca="false">COUNTIFS(Bridge_Trip_Site!$B$2:$B$2000,A76,Bridge_Trip_Site!$A$2:$A$2000,"T2024-*")</f>
        <v>1</v>
      </c>
      <c r="H76" s="10" t="n">
        <f aca="false">COUNTIFS(Bridge_Trip_Site!$B$2:$B$2000,A76,Bridge_Trip_Site!$A$2:$A$2000,"P2025-*")</f>
        <v>1</v>
      </c>
    </row>
    <row r="77" customFormat="false" ht="15" hidden="false" customHeight="true" outlineLevel="0" collapsed="false">
      <c r="A77" s="10" t="s">
        <v>746</v>
      </c>
      <c r="B77" s="10" t="s">
        <v>896</v>
      </c>
      <c r="C77" s="10" t="s">
        <v>897</v>
      </c>
      <c r="D77" s="10" t="s">
        <v>791</v>
      </c>
      <c r="E77" s="10" t="s">
        <v>766</v>
      </c>
      <c r="F77" s="10" t="s">
        <v>767</v>
      </c>
      <c r="G77" s="10" t="n">
        <f aca="false">COUNTIFS(Bridge_Trip_Site!$B$2:$B$2000,A77,Bridge_Trip_Site!$A$2:$A$2000,"T2024-*")</f>
        <v>0</v>
      </c>
      <c r="H77" s="10" t="n">
        <f aca="false">COUNTIFS(Bridge_Trip_Site!$B$2:$B$2000,A77,Bridge_Trip_Site!$A$2:$A$2000,"P2025-*")</f>
        <v>1</v>
      </c>
    </row>
    <row r="78" customFormat="false" ht="15" hidden="false" customHeight="true" outlineLevel="0" collapsed="false">
      <c r="A78" s="10" t="s">
        <v>672</v>
      </c>
      <c r="B78" s="10" t="s">
        <v>898</v>
      </c>
      <c r="C78" s="10" t="s">
        <v>899</v>
      </c>
      <c r="D78" s="10" t="s">
        <v>775</v>
      </c>
      <c r="E78" s="10" t="s">
        <v>766</v>
      </c>
      <c r="F78" s="10" t="s">
        <v>767</v>
      </c>
      <c r="G78" s="10" t="n">
        <f aca="false">COUNTIFS(Bridge_Trip_Site!$B$2:$B$2000,A78,Bridge_Trip_Site!$A$2:$A$2000,"T2024-*")</f>
        <v>3</v>
      </c>
      <c r="H78" s="10" t="n">
        <f aca="false">COUNTIFS(Bridge_Trip_Site!$B$2:$B$2000,A78,Bridge_Trip_Site!$A$2:$A$2000,"P2025-*")</f>
        <v>1</v>
      </c>
    </row>
    <row r="79" customFormat="false" ht="15" hidden="false" customHeight="true" outlineLevel="0" collapsed="false">
      <c r="A79" s="10" t="s">
        <v>731</v>
      </c>
      <c r="B79" s="10" t="s">
        <v>900</v>
      </c>
      <c r="C79" s="10" t="s">
        <v>901</v>
      </c>
      <c r="D79" s="10" t="s">
        <v>878</v>
      </c>
      <c r="E79" s="10" t="s">
        <v>766</v>
      </c>
      <c r="F79" s="10" t="s">
        <v>767</v>
      </c>
      <c r="G79" s="10" t="n">
        <f aca="false">COUNTIFS(Bridge_Trip_Site!$B$2:$B$2000,A79,Bridge_Trip_Site!$A$2:$A$2000,"T2024-*")</f>
        <v>0</v>
      </c>
      <c r="H79" s="10" t="n">
        <f aca="false">COUNTIFS(Bridge_Trip_Site!$B$2:$B$2000,A79,Bridge_Trip_Site!$A$2:$A$2000,"P2025-*")</f>
        <v>1</v>
      </c>
    </row>
    <row r="80" customFormat="false" ht="15" hidden="false" customHeight="true" outlineLevel="0" collapsed="false">
      <c r="A80" s="10" t="s">
        <v>687</v>
      </c>
      <c r="B80" s="10" t="s">
        <v>902</v>
      </c>
      <c r="C80" s="10" t="s">
        <v>903</v>
      </c>
      <c r="D80" s="10" t="s">
        <v>765</v>
      </c>
      <c r="E80" s="10" t="s">
        <v>766</v>
      </c>
      <c r="F80" s="10" t="s">
        <v>767</v>
      </c>
      <c r="G80" s="10" t="n">
        <f aca="false">COUNTIFS(Bridge_Trip_Site!$B$2:$B$2000,A80,Bridge_Trip_Site!$A$2:$A$2000,"T2024-*")</f>
        <v>10</v>
      </c>
      <c r="H80" s="10" t="n">
        <f aca="false">COUNTIFS(Bridge_Trip_Site!$B$2:$B$2000,A80,Bridge_Trip_Site!$A$2:$A$2000,"P2025-*")</f>
        <v>3</v>
      </c>
    </row>
    <row r="81" customFormat="false" ht="15" hidden="false" customHeight="true" outlineLevel="0" collapsed="false">
      <c r="A81" s="10" t="s">
        <v>668</v>
      </c>
      <c r="B81" s="10" t="s">
        <v>904</v>
      </c>
      <c r="C81" s="10" t="s">
        <v>905</v>
      </c>
      <c r="D81" s="10" t="s">
        <v>775</v>
      </c>
      <c r="E81" s="10" t="s">
        <v>766</v>
      </c>
      <c r="F81" s="10" t="s">
        <v>767</v>
      </c>
      <c r="G81" s="10" t="n">
        <f aca="false">COUNTIFS(Bridge_Trip_Site!$B$2:$B$2000,A81,Bridge_Trip_Site!$A$2:$A$2000,"T2024-*")</f>
        <v>2</v>
      </c>
      <c r="H81" s="10" t="n">
        <f aca="false">COUNTIFS(Bridge_Trip_Site!$B$2:$B$2000,A81,Bridge_Trip_Site!$A$2:$A$2000,"P2025-*")</f>
        <v>1</v>
      </c>
    </row>
    <row r="82" customFormat="false" ht="15" hidden="false" customHeight="true" outlineLevel="0" collapsed="false">
      <c r="A82" s="10" t="s">
        <v>660</v>
      </c>
      <c r="B82" s="10" t="s">
        <v>906</v>
      </c>
      <c r="C82" s="10" t="s">
        <v>907</v>
      </c>
      <c r="D82" s="10" t="s">
        <v>784</v>
      </c>
      <c r="E82" s="10" t="s">
        <v>766</v>
      </c>
      <c r="F82" s="10" t="s">
        <v>767</v>
      </c>
      <c r="G82" s="10" t="n">
        <f aca="false">COUNTIFS(Bridge_Trip_Site!$B$2:$B$2000,A82,Bridge_Trip_Site!$A$2:$A$2000,"T2024-*")</f>
        <v>4</v>
      </c>
      <c r="H82" s="10" t="n">
        <f aca="false">COUNTIFS(Bridge_Trip_Site!$B$2:$B$2000,A82,Bridge_Trip_Site!$A$2:$A$2000,"P2025-*")</f>
        <v>1</v>
      </c>
    </row>
    <row r="83" customFormat="false" ht="15" hidden="false" customHeight="true" outlineLevel="0" collapsed="false">
      <c r="A83" s="10" t="s">
        <v>698</v>
      </c>
      <c r="B83" s="10" t="s">
        <v>908</v>
      </c>
      <c r="C83" s="10" t="s">
        <v>907</v>
      </c>
      <c r="D83" s="10" t="s">
        <v>804</v>
      </c>
      <c r="E83" s="10" t="s">
        <v>766</v>
      </c>
      <c r="F83" s="10" t="s">
        <v>780</v>
      </c>
      <c r="G83" s="10" t="n">
        <f aca="false">COUNTIFS(Bridge_Trip_Site!$B$2:$B$2000,A83,Bridge_Trip_Site!$A$2:$A$2000,"T2024-*")</f>
        <v>2</v>
      </c>
      <c r="H83" s="10" t="n">
        <f aca="false">COUNTIFS(Bridge_Trip_Site!$B$2:$B$2000,A83,Bridge_Trip_Site!$A$2:$A$2000,"P2025-*")</f>
        <v>0</v>
      </c>
    </row>
    <row r="84" customFormat="false" ht="15" hidden="false" customHeight="true" outlineLevel="0" collapsed="false">
      <c r="A84" s="10" t="s">
        <v>747</v>
      </c>
      <c r="B84" s="10" t="s">
        <v>909</v>
      </c>
      <c r="C84" s="10" t="s">
        <v>910</v>
      </c>
      <c r="D84" s="10" t="s">
        <v>775</v>
      </c>
      <c r="E84" s="10" t="s">
        <v>766</v>
      </c>
      <c r="F84" s="10" t="s">
        <v>767</v>
      </c>
      <c r="G84" s="10" t="n">
        <f aca="false">COUNTIFS(Bridge_Trip_Site!$B$2:$B$2000,A84,Bridge_Trip_Site!$A$2:$A$2000,"T2024-*")</f>
        <v>0</v>
      </c>
      <c r="H84" s="10" t="n">
        <f aca="false">COUNTIFS(Bridge_Trip_Site!$B$2:$B$2000,A84,Bridge_Trip_Site!$A$2:$A$2000,"P2025-*")</f>
        <v>1</v>
      </c>
    </row>
    <row r="85" customFormat="false" ht="15" hidden="false" customHeight="true" outlineLevel="0" collapsed="false">
      <c r="A85" s="10" t="s">
        <v>657</v>
      </c>
      <c r="B85" s="10" t="s">
        <v>911</v>
      </c>
      <c r="C85" s="10" t="s">
        <v>912</v>
      </c>
      <c r="D85" s="10" t="s">
        <v>791</v>
      </c>
      <c r="E85" s="10" t="s">
        <v>766</v>
      </c>
      <c r="F85" s="10" t="s">
        <v>767</v>
      </c>
      <c r="G85" s="10" t="n">
        <f aca="false">COUNTIFS(Bridge_Trip_Site!$B$2:$B$2000,A85,Bridge_Trip_Site!$A$2:$A$2000,"T2024-*")</f>
        <v>3</v>
      </c>
      <c r="H85" s="10" t="n">
        <f aca="false">COUNTIFS(Bridge_Trip_Site!$B$2:$B$2000,A85,Bridge_Trip_Site!$A$2:$A$2000,"P2025-*")</f>
        <v>1</v>
      </c>
    </row>
    <row r="86" customFormat="false" ht="15" hidden="false" customHeight="true" outlineLevel="0" collapsed="false">
      <c r="A86" s="10" t="s">
        <v>671</v>
      </c>
      <c r="B86" s="10" t="s">
        <v>913</v>
      </c>
      <c r="C86" s="10" t="s">
        <v>914</v>
      </c>
      <c r="D86" s="10" t="s">
        <v>775</v>
      </c>
      <c r="E86" s="10" t="s">
        <v>766</v>
      </c>
      <c r="F86" s="10" t="s">
        <v>767</v>
      </c>
      <c r="G86" s="10" t="n">
        <f aca="false">COUNTIFS(Bridge_Trip_Site!$B$2:$B$2000,A86,Bridge_Trip_Site!$A$2:$A$2000,"T2024-*")</f>
        <v>2</v>
      </c>
      <c r="H86" s="10" t="n">
        <f aca="false">COUNTIFS(Bridge_Trip_Site!$B$2:$B$2000,A86,Bridge_Trip_Site!$A$2:$A$2000,"P2025-*")</f>
        <v>1</v>
      </c>
    </row>
    <row r="87" customFormat="false" ht="15" hidden="false" customHeight="true" outlineLevel="0" collapsed="false">
      <c r="A87" s="10" t="s">
        <v>676</v>
      </c>
      <c r="B87" s="10" t="s">
        <v>915</v>
      </c>
      <c r="C87" s="10" t="s">
        <v>916</v>
      </c>
      <c r="D87" s="10" t="s">
        <v>775</v>
      </c>
      <c r="E87" s="10" t="s">
        <v>766</v>
      </c>
      <c r="F87" s="10" t="s">
        <v>767</v>
      </c>
      <c r="G87" s="10" t="n">
        <f aca="false">COUNTIFS(Bridge_Trip_Site!$B$2:$B$2000,A87,Bridge_Trip_Site!$A$2:$A$2000,"T2024-*")</f>
        <v>1</v>
      </c>
      <c r="H87" s="10" t="n">
        <f aca="false">COUNTIFS(Bridge_Trip_Site!$B$2:$B$2000,A87,Bridge_Trip_Site!$A$2:$A$2000,"P2025-*")</f>
        <v>1</v>
      </c>
    </row>
    <row r="88" customFormat="false" ht="15" hidden="false" customHeight="true" outlineLevel="0" collapsed="false">
      <c r="A88" s="10" t="s">
        <v>717</v>
      </c>
      <c r="B88" s="10" t="s">
        <v>917</v>
      </c>
      <c r="C88" s="10" t="s">
        <v>916</v>
      </c>
      <c r="D88" s="10" t="s">
        <v>791</v>
      </c>
      <c r="E88" s="10" t="s">
        <v>766</v>
      </c>
      <c r="F88" s="10" t="s">
        <v>780</v>
      </c>
      <c r="G88" s="10" t="n">
        <f aca="false">COUNTIFS(Bridge_Trip_Site!$B$2:$B$2000,A88,Bridge_Trip_Site!$A$2:$A$2000,"T2024-*")</f>
        <v>2</v>
      </c>
      <c r="H88" s="10" t="n">
        <f aca="false">COUNTIFS(Bridge_Trip_Site!$B$2:$B$2000,A88,Bridge_Trip_Site!$A$2:$A$2000,"P2025-*")</f>
        <v>0</v>
      </c>
    </row>
    <row r="89" customFormat="false" ht="15" hidden="false" customHeight="true" outlineLevel="0" collapsed="false">
      <c r="A89" s="10" t="s">
        <v>691</v>
      </c>
      <c r="B89" s="10" t="s">
        <v>918</v>
      </c>
      <c r="C89" s="10" t="s">
        <v>919</v>
      </c>
      <c r="D89" s="10" t="s">
        <v>770</v>
      </c>
      <c r="E89" s="10" t="s">
        <v>766</v>
      </c>
      <c r="F89" s="10" t="s">
        <v>767</v>
      </c>
      <c r="G89" s="10" t="n">
        <f aca="false">COUNTIFS(Bridge_Trip_Site!$B$2:$B$2000,A89,Bridge_Trip_Site!$A$2:$A$2000,"T2024-*")</f>
        <v>2</v>
      </c>
      <c r="H89" s="10" t="n">
        <f aca="false">COUNTIFS(Bridge_Trip_Site!$B$2:$B$2000,A89,Bridge_Trip_Site!$A$2:$A$2000,"P2025-*")</f>
        <v>1</v>
      </c>
    </row>
    <row r="90" customFormat="false" ht="15" hidden="false" customHeight="true" outlineLevel="0" collapsed="false">
      <c r="A90" s="10" t="s">
        <v>654</v>
      </c>
      <c r="B90" s="10" t="s">
        <v>920</v>
      </c>
      <c r="C90" s="10" t="s">
        <v>921</v>
      </c>
      <c r="D90" s="10" t="s">
        <v>775</v>
      </c>
      <c r="E90" s="10" t="s">
        <v>766</v>
      </c>
      <c r="F90" s="10" t="s">
        <v>767</v>
      </c>
      <c r="G90" s="10" t="n">
        <f aca="false">COUNTIFS(Bridge_Trip_Site!$B$2:$B$2000,A90,Bridge_Trip_Site!$A$2:$A$2000,"T2024-*")</f>
        <v>4</v>
      </c>
      <c r="H90" s="10" t="n">
        <f aca="false">COUNTIFS(Bridge_Trip_Site!$B$2:$B$2000,A90,Bridge_Trip_Site!$A$2:$A$2000,"P2025-*")</f>
        <v>1</v>
      </c>
    </row>
    <row r="91" customFormat="false" ht="15" hidden="false" customHeight="true" outlineLevel="0" collapsed="false">
      <c r="A91" s="10" t="s">
        <v>704</v>
      </c>
      <c r="B91" s="10" t="s">
        <v>922</v>
      </c>
      <c r="C91" s="10" t="s">
        <v>921</v>
      </c>
      <c r="D91" s="10" t="s">
        <v>804</v>
      </c>
      <c r="E91" s="10" t="s">
        <v>766</v>
      </c>
      <c r="F91" s="10" t="s">
        <v>780</v>
      </c>
      <c r="G91" s="10" t="n">
        <f aca="false">COUNTIFS(Bridge_Trip_Site!$B$2:$B$2000,A91,Bridge_Trip_Site!$A$2:$A$2000,"T2024-*")</f>
        <v>2</v>
      </c>
      <c r="H91" s="10" t="n">
        <f aca="false">COUNTIFS(Bridge_Trip_Site!$B$2:$B$2000,A91,Bridge_Trip_Site!$A$2:$A$2000,"P2025-*")</f>
        <v>0</v>
      </c>
    </row>
    <row r="92" customFormat="false" ht="15" hidden="false" customHeight="true" outlineLevel="0" collapsed="false">
      <c r="A92" s="10" t="s">
        <v>673</v>
      </c>
      <c r="B92" s="10" t="s">
        <v>923</v>
      </c>
      <c r="C92" s="10" t="s">
        <v>924</v>
      </c>
      <c r="D92" s="10" t="s">
        <v>775</v>
      </c>
      <c r="E92" s="10" t="s">
        <v>766</v>
      </c>
      <c r="F92" s="10" t="s">
        <v>767</v>
      </c>
      <c r="G92" s="10" t="n">
        <f aca="false">COUNTIFS(Bridge_Trip_Site!$B$2:$B$2000,A92,Bridge_Trip_Site!$A$2:$A$2000,"T2024-*")</f>
        <v>3</v>
      </c>
      <c r="H92" s="10" t="n">
        <f aca="false">COUNTIFS(Bridge_Trip_Site!$B$2:$B$2000,A92,Bridge_Trip_Site!$A$2:$A$2000,"P2025-*")</f>
        <v>1</v>
      </c>
    </row>
    <row r="93" customFormat="false" ht="15" hidden="false" customHeight="true" outlineLevel="0" collapsed="false">
      <c r="A93" s="10" t="s">
        <v>707</v>
      </c>
      <c r="B93" s="10" t="s">
        <v>925</v>
      </c>
      <c r="C93" s="10" t="s">
        <v>926</v>
      </c>
      <c r="D93" s="10" t="s">
        <v>765</v>
      </c>
      <c r="E93" s="10" t="s">
        <v>766</v>
      </c>
      <c r="F93" s="10" t="s">
        <v>767</v>
      </c>
      <c r="G93" s="10" t="n">
        <f aca="false">COUNTIFS(Bridge_Trip_Site!$B$2:$B$2000,A93,Bridge_Trip_Site!$A$2:$A$2000,"T2024-*")</f>
        <v>4</v>
      </c>
      <c r="H93" s="10" t="n">
        <f aca="false">COUNTIFS(Bridge_Trip_Site!$B$2:$B$2000,A93,Bridge_Trip_Site!$A$2:$A$2000,"P2025-*")</f>
        <v>1</v>
      </c>
    </row>
    <row r="94" customFormat="false" ht="15" hidden="false" customHeight="true" outlineLevel="0" collapsed="false">
      <c r="A94" s="10" t="s">
        <v>748</v>
      </c>
      <c r="B94" s="10" t="s">
        <v>927</v>
      </c>
      <c r="C94" s="10" t="s">
        <v>928</v>
      </c>
      <c r="D94" s="10" t="s">
        <v>765</v>
      </c>
      <c r="E94" s="10" t="s">
        <v>766</v>
      </c>
      <c r="F94" s="10" t="s">
        <v>767</v>
      </c>
      <c r="G94" s="10" t="n">
        <f aca="false">COUNTIFS(Bridge_Trip_Site!$B$2:$B$2000,A94,Bridge_Trip_Site!$A$2:$A$2000,"T2024-*")</f>
        <v>0</v>
      </c>
      <c r="H94" s="10" t="n">
        <f aca="false">COUNTIFS(Bridge_Trip_Site!$B$2:$B$2000,A94,Bridge_Trip_Site!$A$2:$A$2000,"P2025-*")</f>
        <v>1</v>
      </c>
    </row>
    <row r="95" customFormat="false" ht="15" hidden="false" customHeight="true" outlineLevel="0" collapsed="false">
      <c r="A95" s="10" t="s">
        <v>677</v>
      </c>
      <c r="B95" s="10" t="s">
        <v>929</v>
      </c>
      <c r="C95" s="10" t="s">
        <v>930</v>
      </c>
      <c r="D95" s="10" t="s">
        <v>775</v>
      </c>
      <c r="E95" s="10" t="s">
        <v>766</v>
      </c>
      <c r="F95" s="10" t="s">
        <v>767</v>
      </c>
      <c r="G95" s="10" t="n">
        <f aca="false">COUNTIFS(Bridge_Trip_Site!$B$2:$B$2000,A95,Bridge_Trip_Site!$A$2:$A$2000,"T2024-*")</f>
        <v>1</v>
      </c>
      <c r="H95" s="10" t="n">
        <f aca="false">COUNTIFS(Bridge_Trip_Site!$B$2:$B$2000,A95,Bridge_Trip_Site!$A$2:$A$2000,"P2025-*")</f>
        <v>1</v>
      </c>
    </row>
    <row r="96" customFormat="false" ht="15" hidden="false" customHeight="true" outlineLevel="0" collapsed="false">
      <c r="A96" s="10" t="s">
        <v>726</v>
      </c>
      <c r="B96" s="10" t="s">
        <v>931</v>
      </c>
      <c r="C96" s="10" t="s">
        <v>930</v>
      </c>
      <c r="D96" s="10" t="s">
        <v>784</v>
      </c>
      <c r="E96" s="10" t="s">
        <v>766</v>
      </c>
      <c r="F96" s="10" t="s">
        <v>780</v>
      </c>
      <c r="G96" s="10" t="n">
        <f aca="false">COUNTIFS(Bridge_Trip_Site!$B$2:$B$2000,A96,Bridge_Trip_Site!$A$2:$A$2000,"T2024-*")</f>
        <v>1</v>
      </c>
      <c r="H96" s="10" t="n">
        <f aca="false">COUNTIFS(Bridge_Trip_Site!$B$2:$B$2000,A96,Bridge_Trip_Site!$A$2:$A$2000,"P2025-*")</f>
        <v>0</v>
      </c>
    </row>
    <row r="97" customFormat="false" ht="15" hidden="false" customHeight="true" outlineLevel="0" collapsed="false">
      <c r="A97" s="10" t="s">
        <v>674</v>
      </c>
      <c r="B97" s="10" t="s">
        <v>932</v>
      </c>
      <c r="C97" s="10" t="s">
        <v>933</v>
      </c>
      <c r="D97" s="10" t="s">
        <v>775</v>
      </c>
      <c r="E97" s="10" t="s">
        <v>766</v>
      </c>
      <c r="F97" s="10" t="s">
        <v>767</v>
      </c>
      <c r="G97" s="10" t="n">
        <f aca="false">COUNTIFS(Bridge_Trip_Site!$B$2:$B$2000,A97,Bridge_Trip_Site!$A$2:$A$2000,"T2024-*")</f>
        <v>1</v>
      </c>
      <c r="H97" s="10" t="n">
        <f aca="false">COUNTIFS(Bridge_Trip_Site!$B$2:$B$2000,A97,Bridge_Trip_Site!$A$2:$A$2000,"P2025-*")</f>
        <v>2</v>
      </c>
    </row>
    <row r="98" customFormat="false" ht="15" hidden="false" customHeight="true" outlineLevel="0" collapsed="false">
      <c r="A98" s="10" t="s">
        <v>724</v>
      </c>
      <c r="B98" s="10" t="s">
        <v>934</v>
      </c>
      <c r="C98" s="10" t="s">
        <v>933</v>
      </c>
      <c r="D98" s="10" t="s">
        <v>784</v>
      </c>
      <c r="E98" s="10" t="s">
        <v>766</v>
      </c>
      <c r="F98" s="10" t="s">
        <v>780</v>
      </c>
      <c r="G98" s="10" t="n">
        <f aca="false">COUNTIFS(Bridge_Trip_Site!$B$2:$B$2000,A98,Bridge_Trip_Site!$A$2:$A$2000,"T2024-*")</f>
        <v>1</v>
      </c>
      <c r="H98" s="10" t="n">
        <f aca="false">COUNTIFS(Bridge_Trip_Site!$B$2:$B$2000,A98,Bridge_Trip_Site!$A$2:$A$2000,"P2025-*")</f>
        <v>0</v>
      </c>
    </row>
    <row r="99" customFormat="false" ht="15" hidden="false" customHeight="true" outlineLevel="0" collapsed="false">
      <c r="A99" s="10" t="s">
        <v>749</v>
      </c>
      <c r="B99" s="10" t="s">
        <v>935</v>
      </c>
      <c r="C99" s="10" t="s">
        <v>936</v>
      </c>
      <c r="D99" s="10" t="s">
        <v>775</v>
      </c>
      <c r="E99" s="10" t="s">
        <v>766</v>
      </c>
      <c r="F99" s="10" t="s">
        <v>767</v>
      </c>
      <c r="G99" s="10" t="n">
        <f aca="false">COUNTIFS(Bridge_Trip_Site!$B$2:$B$2000,A99,Bridge_Trip_Site!$A$2:$A$2000,"T2024-*")</f>
        <v>0</v>
      </c>
      <c r="H99" s="10" t="n">
        <f aca="false">COUNTIFS(Bridge_Trip_Site!$B$2:$B$2000,A99,Bridge_Trip_Site!$A$2:$A$2000,"P2025-*")</f>
        <v>1</v>
      </c>
    </row>
    <row r="100" customFormat="false" ht="15" hidden="false" customHeight="true" outlineLevel="0" collapsed="false">
      <c r="A100" s="10" t="s">
        <v>750</v>
      </c>
      <c r="B100" s="10" t="s">
        <v>937</v>
      </c>
      <c r="C100" s="10" t="s">
        <v>938</v>
      </c>
      <c r="D100" s="10" t="s">
        <v>775</v>
      </c>
      <c r="E100" s="10" t="s">
        <v>766</v>
      </c>
      <c r="F100" s="10" t="s">
        <v>767</v>
      </c>
      <c r="G100" s="10" t="n">
        <f aca="false">COUNTIFS(Bridge_Trip_Site!$B$2:$B$2000,A100,Bridge_Trip_Site!$A$2:$A$2000,"T2024-*")</f>
        <v>0</v>
      </c>
      <c r="H100" s="10" t="n">
        <f aca="false">COUNTIFS(Bridge_Trip_Site!$B$2:$B$2000,A100,Bridge_Trip_Site!$A$2:$A$2000,"P2025-*")</f>
        <v>1</v>
      </c>
    </row>
    <row r="101" customFormat="false" ht="15" hidden="false" customHeight="true" outlineLevel="0" collapsed="false">
      <c r="A101" s="10" t="s">
        <v>649</v>
      </c>
      <c r="B101" s="10" t="s">
        <v>939</v>
      </c>
      <c r="C101" s="10" t="s">
        <v>940</v>
      </c>
      <c r="D101" s="10" t="s">
        <v>765</v>
      </c>
      <c r="E101" s="10" t="s">
        <v>815</v>
      </c>
      <c r="F101" s="10" t="s">
        <v>767</v>
      </c>
      <c r="G101" s="10" t="n">
        <f aca="false">COUNTIFS(Bridge_Trip_Site!$B$2:$B$2000,A101,Bridge_Trip_Site!$A$2:$A$2000,"T2024-*")</f>
        <v>11</v>
      </c>
      <c r="H101" s="10" t="n">
        <f aca="false">COUNTIFS(Bridge_Trip_Site!$B$2:$B$2000,A101,Bridge_Trip_Site!$A$2:$A$2000,"P2025-*")</f>
        <v>5</v>
      </c>
    </row>
    <row r="102" customFormat="false" ht="15" hidden="false" customHeight="true" outlineLevel="0" collapsed="false">
      <c r="A102" s="10" t="s">
        <v>751</v>
      </c>
      <c r="B102" s="10" t="s">
        <v>941</v>
      </c>
      <c r="C102" s="10" t="s">
        <v>942</v>
      </c>
      <c r="D102" s="10" t="s">
        <v>765</v>
      </c>
      <c r="E102" s="10" t="s">
        <v>766</v>
      </c>
      <c r="F102" s="10" t="s">
        <v>767</v>
      </c>
      <c r="G102" s="10" t="n">
        <f aca="false">COUNTIFS(Bridge_Trip_Site!$B$2:$B$2000,A102,Bridge_Trip_Site!$A$2:$A$2000,"T2024-*")</f>
        <v>0</v>
      </c>
      <c r="H102" s="10" t="n">
        <f aca="false">COUNTIFS(Bridge_Trip_Site!$B$2:$B$2000,A102,Bridge_Trip_Site!$A$2:$A$2000,"P2025-*")</f>
        <v>1</v>
      </c>
    </row>
    <row r="103" customFormat="false" ht="15" hidden="false" customHeight="true" outlineLevel="0" collapsed="false">
      <c r="A103" s="10" t="s">
        <v>663</v>
      </c>
      <c r="B103" s="10" t="s">
        <v>943</v>
      </c>
      <c r="C103" s="10" t="s">
        <v>944</v>
      </c>
      <c r="D103" s="10" t="s">
        <v>784</v>
      </c>
      <c r="E103" s="10" t="s">
        <v>766</v>
      </c>
      <c r="F103" s="10" t="s">
        <v>767</v>
      </c>
      <c r="G103" s="10" t="n">
        <f aca="false">COUNTIFS(Bridge_Trip_Site!$B$2:$B$2000,A103,Bridge_Trip_Site!$A$2:$A$2000,"T2024-*")</f>
        <v>5</v>
      </c>
      <c r="H103" s="10" t="n">
        <f aca="false">COUNTIFS(Bridge_Trip_Site!$B$2:$B$2000,A103,Bridge_Trip_Site!$A$2:$A$2000,"P2025-*")</f>
        <v>1</v>
      </c>
    </row>
    <row r="104" customFormat="false" ht="15" hidden="false" customHeight="true" outlineLevel="0" collapsed="false">
      <c r="A104" s="10" t="s">
        <v>711</v>
      </c>
      <c r="B104" s="10" t="s">
        <v>945</v>
      </c>
      <c r="C104" s="10" t="s">
        <v>946</v>
      </c>
      <c r="D104" s="10" t="s">
        <v>765</v>
      </c>
      <c r="E104" s="10" t="s">
        <v>766</v>
      </c>
      <c r="F104" s="10" t="s">
        <v>767</v>
      </c>
      <c r="G104" s="10" t="n">
        <f aca="false">COUNTIFS(Bridge_Trip_Site!$B$2:$B$2000,A104,Bridge_Trip_Site!$A$2:$A$2000,"T2024-*")</f>
        <v>1</v>
      </c>
      <c r="H104" s="10" t="n">
        <f aca="false">COUNTIFS(Bridge_Trip_Site!$B$2:$B$2000,A104,Bridge_Trip_Site!$A$2:$A$2000,"P2025-*")</f>
        <v>1</v>
      </c>
    </row>
    <row r="105" customFormat="false" ht="15" hidden="false" customHeight="true" outlineLevel="0" collapsed="false">
      <c r="A105" s="10" t="s">
        <v>752</v>
      </c>
      <c r="B105" s="10" t="s">
        <v>947</v>
      </c>
      <c r="C105" s="10" t="s">
        <v>947</v>
      </c>
      <c r="D105" s="10" t="s">
        <v>878</v>
      </c>
      <c r="E105" s="10" t="s">
        <v>766</v>
      </c>
      <c r="F105" s="10" t="s">
        <v>767</v>
      </c>
      <c r="G105" s="10" t="n">
        <f aca="false">COUNTIFS(Bridge_Trip_Site!$B$2:$B$2000,A105,Bridge_Trip_Site!$A$2:$A$2000,"T2024-*")</f>
        <v>0</v>
      </c>
      <c r="H105" s="10" t="n">
        <f aca="false">COUNTIFS(Bridge_Trip_Site!$B$2:$B$2000,A105,Bridge_Trip_Site!$A$2:$A$2000,"P2025-*")</f>
        <v>1</v>
      </c>
    </row>
    <row r="106" customFormat="false" ht="15" hidden="false" customHeight="true" outlineLevel="0" collapsed="false">
      <c r="A106" s="10" t="s">
        <v>648</v>
      </c>
      <c r="B106" s="10" t="s">
        <v>948</v>
      </c>
      <c r="C106" s="10" t="s">
        <v>949</v>
      </c>
      <c r="D106" s="10" t="s">
        <v>765</v>
      </c>
      <c r="E106" s="10" t="s">
        <v>766</v>
      </c>
      <c r="F106" s="10" t="s">
        <v>780</v>
      </c>
      <c r="G106" s="10" t="n">
        <f aca="false">COUNTIFS(Bridge_Trip_Site!$B$2:$B$2000,A106,Bridge_Trip_Site!$A$2:$A$2000,"T2024-*")</f>
        <v>3</v>
      </c>
      <c r="H106" s="10" t="n">
        <f aca="false">COUNTIFS(Bridge_Trip_Site!$B$2:$B$2000,A106,Bridge_Trip_Site!$A$2:$A$2000,"P2025-*")</f>
        <v>0</v>
      </c>
    </row>
  </sheetData>
  <autoFilter ref="A1:H10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1"/>
    <col collapsed="false" customWidth="true" hidden="false" outlineLevel="0" max="3" min="3" style="1" width="40"/>
    <col collapsed="false" customWidth="true" hidden="false" outlineLevel="0" max="4" min="4" style="1" width="28"/>
    <col collapsed="false" customWidth="true" hidden="false" outlineLevel="0" max="5" min="5" style="1" width="20"/>
    <col collapsed="false" customWidth="true" hidden="false" outlineLevel="0" max="6" min="6" style="1" width="50"/>
    <col collapsed="false" customWidth="true" hidden="false" outlineLevel="0" max="7" min="7" style="1" width="34"/>
  </cols>
  <sheetData>
    <row r="1" customFormat="false" ht="23.25" hidden="false" customHeight="true" outlineLevel="0" collapsed="false">
      <c r="A1" s="9" t="s">
        <v>28</v>
      </c>
      <c r="B1" s="9" t="s">
        <v>29</v>
      </c>
      <c r="C1" s="9" t="s">
        <v>950</v>
      </c>
      <c r="D1" s="9" t="s">
        <v>951</v>
      </c>
      <c r="E1" s="9" t="s">
        <v>952</v>
      </c>
      <c r="F1" s="9" t="s">
        <v>953</v>
      </c>
      <c r="G1" s="9" t="s">
        <v>954</v>
      </c>
    </row>
    <row r="2" customFormat="false" ht="15" hidden="false" customHeight="true" outlineLevel="0" collapsed="false">
      <c r="A2" s="10" t="n">
        <v>1</v>
      </c>
      <c r="B2" s="10" t="s">
        <v>955</v>
      </c>
      <c r="C2" s="10" t="s">
        <v>956</v>
      </c>
      <c r="D2" s="10" t="s">
        <v>957</v>
      </c>
      <c r="E2" s="10" t="n">
        <v>240</v>
      </c>
      <c r="F2" s="10" t="s">
        <v>958</v>
      </c>
      <c r="G2" s="10" t="s">
        <v>959</v>
      </c>
    </row>
    <row r="3" customFormat="false" ht="15" hidden="false" customHeight="true" outlineLevel="0" collapsed="false">
      <c r="A3" s="10" t="n">
        <v>2</v>
      </c>
      <c r="B3" s="10" t="s">
        <v>960</v>
      </c>
      <c r="C3" s="10" t="s">
        <v>961</v>
      </c>
      <c r="D3" s="10" t="s">
        <v>962</v>
      </c>
      <c r="E3" s="10" t="n">
        <v>290</v>
      </c>
      <c r="F3" s="10" t="s">
        <v>963</v>
      </c>
      <c r="G3" s="10" t="s">
        <v>959</v>
      </c>
    </row>
    <row r="4" customFormat="false" ht="15" hidden="false" customHeight="true" outlineLevel="0" collapsed="false">
      <c r="A4" s="10" t="n">
        <v>3</v>
      </c>
      <c r="B4" s="10" t="s">
        <v>964</v>
      </c>
      <c r="C4" s="10" t="s">
        <v>965</v>
      </c>
      <c r="D4" s="10" t="s">
        <v>964</v>
      </c>
      <c r="E4" s="10" t="n">
        <v>409</v>
      </c>
      <c r="F4" s="10" t="s">
        <v>966</v>
      </c>
      <c r="G4" s="10" t="s">
        <v>959</v>
      </c>
    </row>
    <row r="5" customFormat="false" ht="15" hidden="false" customHeight="true" outlineLevel="0" collapsed="false">
      <c r="A5" s="10" t="n">
        <v>4</v>
      </c>
      <c r="B5" s="10" t="s">
        <v>967</v>
      </c>
      <c r="C5" s="10" t="s">
        <v>968</v>
      </c>
      <c r="D5" s="10" t="s">
        <v>967</v>
      </c>
      <c r="E5" s="10" t="n">
        <v>101</v>
      </c>
      <c r="F5" s="10" t="s">
        <v>963</v>
      </c>
      <c r="G5" s="10" t="s">
        <v>969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40"/>
    <col collapsed="false" customWidth="true" hidden="false" outlineLevel="0" max="3" min="3" style="1" width="10"/>
    <col collapsed="false" customWidth="true" hidden="false" outlineLevel="0" max="4" min="4" style="1" width="70"/>
  </cols>
  <sheetData>
    <row r="1" customFormat="false" ht="15" hidden="false" customHeight="true" outlineLevel="0" collapsed="false">
      <c r="A1" s="9" t="s">
        <v>30</v>
      </c>
      <c r="B1" s="9" t="s">
        <v>970</v>
      </c>
      <c r="C1" s="9" t="s">
        <v>971</v>
      </c>
      <c r="D1" s="9" t="s">
        <v>972</v>
      </c>
    </row>
    <row r="2" customFormat="false" ht="15" hidden="false" customHeight="true" outlineLevel="0" collapsed="false">
      <c r="A2" s="10" t="s">
        <v>106</v>
      </c>
      <c r="B2" s="10" t="s">
        <v>973</v>
      </c>
      <c r="C2" s="10" t="n">
        <v>4</v>
      </c>
      <c r="D2" s="10" t="s">
        <v>974</v>
      </c>
    </row>
    <row r="3" customFormat="false" ht="15" hidden="false" customHeight="true" outlineLevel="0" collapsed="false">
      <c r="A3" s="10" t="s">
        <v>116</v>
      </c>
      <c r="B3" s="10" t="s">
        <v>975</v>
      </c>
      <c r="C3" s="10" t="n">
        <v>7</v>
      </c>
      <c r="D3" s="10" t="s">
        <v>974</v>
      </c>
    </row>
    <row r="4" customFormat="false" ht="15" hidden="false" customHeight="true" outlineLevel="0" collapsed="false">
      <c r="A4" s="10" t="s">
        <v>56</v>
      </c>
      <c r="B4" s="10" t="s">
        <v>976</v>
      </c>
      <c r="C4" s="10" t="n">
        <v>10</v>
      </c>
      <c r="D4" s="10" t="s">
        <v>974</v>
      </c>
    </row>
    <row r="5" customFormat="false" ht="15" hidden="false" customHeight="true" outlineLevel="0" collapsed="false">
      <c r="A5" s="10" t="s">
        <v>72</v>
      </c>
      <c r="B5" s="10" t="s">
        <v>977</v>
      </c>
      <c r="C5" s="10" t="n">
        <v>13</v>
      </c>
      <c r="D5" s="10" t="s">
        <v>974</v>
      </c>
    </row>
    <row r="6" customFormat="false" ht="15" hidden="false" customHeight="true" outlineLevel="0" collapsed="false">
      <c r="A6" s="10" t="s">
        <v>378</v>
      </c>
      <c r="B6" s="10" t="s">
        <v>978</v>
      </c>
      <c r="C6" s="10" t="n">
        <v>18</v>
      </c>
      <c r="D6" s="10" t="s">
        <v>974</v>
      </c>
    </row>
    <row r="7" customFormat="false" ht="15" hidden="false" customHeight="true" outlineLevel="0" collapsed="false">
      <c r="A7" s="10" t="s">
        <v>223</v>
      </c>
      <c r="B7" s="10" t="s">
        <v>979</v>
      </c>
      <c r="C7" s="10" t="n">
        <v>19</v>
      </c>
      <c r="D7" s="10" t="s">
        <v>974</v>
      </c>
    </row>
    <row r="8" customFormat="false" ht="15" hidden="false" customHeight="true" outlineLevel="0" collapsed="false">
      <c r="A8" s="10" t="s">
        <v>272</v>
      </c>
      <c r="B8" s="10" t="s">
        <v>980</v>
      </c>
      <c r="C8" s="10" t="n">
        <v>22</v>
      </c>
      <c r="D8" s="10" t="s">
        <v>974</v>
      </c>
    </row>
    <row r="9" customFormat="false" ht="15" hidden="false" customHeight="true" outlineLevel="0" collapsed="false">
      <c r="A9" s="10" t="s">
        <v>383</v>
      </c>
      <c r="B9" s="10" t="s">
        <v>981</v>
      </c>
      <c r="C9" s="10" t="n">
        <v>60</v>
      </c>
      <c r="D9" s="10" t="s">
        <v>974</v>
      </c>
    </row>
    <row r="10" customFormat="false" ht="15" hidden="false" customHeight="true" outlineLevel="0" collapsed="false">
      <c r="A10" s="10" t="s">
        <v>494</v>
      </c>
      <c r="B10" s="10" t="s">
        <v>982</v>
      </c>
      <c r="C10" s="10"/>
      <c r="D10" s="10" t="s">
        <v>983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7"/>
    <col collapsed="false" customWidth="true" hidden="false" outlineLevel="0" max="3" min="3" style="1" width="10"/>
    <col collapsed="false" customWidth="true" hidden="false" outlineLevel="0" max="4" min="4" style="1" width="8"/>
    <col collapsed="false" customWidth="true" hidden="false" outlineLevel="0" max="6" min="5" style="1" width="9"/>
    <col collapsed="false" customWidth="true" hidden="false" outlineLevel="0" max="7" min="7" style="1" width="11"/>
    <col collapsed="false" customWidth="true" hidden="false" outlineLevel="0" max="8" min="8" style="1" width="28"/>
  </cols>
  <sheetData>
    <row r="1" customFormat="false" ht="23.25" hidden="false" customHeight="true" outlineLevel="0" collapsed="false">
      <c r="A1" s="9" t="s">
        <v>753</v>
      </c>
      <c r="B1" s="9" t="s">
        <v>984</v>
      </c>
      <c r="C1" s="9" t="s">
        <v>985</v>
      </c>
      <c r="D1" s="9" t="s">
        <v>986</v>
      </c>
      <c r="E1" s="9" t="s">
        <v>987</v>
      </c>
      <c r="F1" s="9" t="s">
        <v>988</v>
      </c>
      <c r="G1" s="9" t="s">
        <v>989</v>
      </c>
      <c r="H1" s="9" t="s">
        <v>990</v>
      </c>
    </row>
    <row r="2" customFormat="false" ht="15" hidden="false" customHeight="true" outlineLevel="0" collapsed="false">
      <c r="A2" s="11" t="n">
        <v>45292</v>
      </c>
      <c r="B2" s="10" t="n">
        <f aca="false">YEAR(A2)</f>
        <v>2024</v>
      </c>
      <c r="C2" s="10" t="n">
        <f aca="false">MONTH(A2)</f>
        <v>1</v>
      </c>
      <c r="D2" s="10" t="str">
        <f aca="false">TEXT(A2,"mmm")</f>
        <v>Jan</v>
      </c>
      <c r="E2" s="10" t="str">
        <f aca="false">"Q"&amp;ROUNDUP(C2/3,0)</f>
        <v>Q1</v>
      </c>
      <c r="F2" s="10" t="str">
        <f aca="false">TEXT(A2,"ddd")</f>
        <v>Mon</v>
      </c>
      <c r="G2" s="10" t="str">
        <f aca="false">IF(WEEKDAY(A2,2)&gt;5,"Yes","No")</f>
        <v>No</v>
      </c>
      <c r="H2" s="10" t="s">
        <v>991</v>
      </c>
    </row>
    <row r="3" customFormat="false" ht="15" hidden="false" customHeight="true" outlineLevel="0" collapsed="false">
      <c r="A3" s="11" t="n">
        <v>45293</v>
      </c>
      <c r="B3" s="10" t="n">
        <f aca="false">YEAR(A3)</f>
        <v>2024</v>
      </c>
      <c r="C3" s="10" t="n">
        <f aca="false">MONTH(A3)</f>
        <v>1</v>
      </c>
      <c r="D3" s="10" t="str">
        <f aca="false">TEXT(A3,"mmm")</f>
        <v>Jan</v>
      </c>
      <c r="E3" s="10" t="str">
        <f aca="false">"Q"&amp;ROUNDUP(C3/3,0)</f>
        <v>Q1</v>
      </c>
      <c r="F3" s="10" t="str">
        <f aca="false">TEXT(A3,"ddd")</f>
        <v>Tue</v>
      </c>
      <c r="G3" s="10" t="str">
        <f aca="false">IF(WEEKDAY(A3,2)&gt;5,"Yes","No")</f>
        <v>No</v>
      </c>
      <c r="H3" s="10"/>
    </row>
    <row r="4" customFormat="false" ht="15" hidden="false" customHeight="true" outlineLevel="0" collapsed="false">
      <c r="A4" s="11" t="n">
        <v>45294</v>
      </c>
      <c r="B4" s="10" t="n">
        <f aca="false">YEAR(A4)</f>
        <v>2024</v>
      </c>
      <c r="C4" s="10" t="n">
        <f aca="false">MONTH(A4)</f>
        <v>1</v>
      </c>
      <c r="D4" s="10" t="str">
        <f aca="false">TEXT(A4,"mmm")</f>
        <v>Jan</v>
      </c>
      <c r="E4" s="10" t="str">
        <f aca="false">"Q"&amp;ROUNDUP(C4/3,0)</f>
        <v>Q1</v>
      </c>
      <c r="F4" s="10" t="str">
        <f aca="false">TEXT(A4,"ddd")</f>
        <v>Wed</v>
      </c>
      <c r="G4" s="10" t="str">
        <f aca="false">IF(WEEKDAY(A4,2)&gt;5,"Yes","No")</f>
        <v>No</v>
      </c>
      <c r="H4" s="10"/>
    </row>
    <row r="5" customFormat="false" ht="15" hidden="false" customHeight="true" outlineLevel="0" collapsed="false">
      <c r="A5" s="11" t="n">
        <v>45295</v>
      </c>
      <c r="B5" s="10" t="n">
        <f aca="false">YEAR(A5)</f>
        <v>2024</v>
      </c>
      <c r="C5" s="10" t="n">
        <f aca="false">MONTH(A5)</f>
        <v>1</v>
      </c>
      <c r="D5" s="10" t="str">
        <f aca="false">TEXT(A5,"mmm")</f>
        <v>Jan</v>
      </c>
      <c r="E5" s="10" t="str">
        <f aca="false">"Q"&amp;ROUNDUP(C5/3,0)</f>
        <v>Q1</v>
      </c>
      <c r="F5" s="10" t="str">
        <f aca="false">TEXT(A5,"ddd")</f>
        <v>Thu</v>
      </c>
      <c r="G5" s="10" t="str">
        <f aca="false">IF(WEEKDAY(A5,2)&gt;5,"Yes","No")</f>
        <v>No</v>
      </c>
      <c r="H5" s="10"/>
    </row>
    <row r="6" customFormat="false" ht="15" hidden="false" customHeight="true" outlineLevel="0" collapsed="false">
      <c r="A6" s="11" t="n">
        <v>45296</v>
      </c>
      <c r="B6" s="10" t="n">
        <f aca="false">YEAR(A6)</f>
        <v>2024</v>
      </c>
      <c r="C6" s="10" t="n">
        <f aca="false">MONTH(A6)</f>
        <v>1</v>
      </c>
      <c r="D6" s="10" t="str">
        <f aca="false">TEXT(A6,"mmm")</f>
        <v>Jan</v>
      </c>
      <c r="E6" s="10" t="str">
        <f aca="false">"Q"&amp;ROUNDUP(C6/3,0)</f>
        <v>Q1</v>
      </c>
      <c r="F6" s="10" t="str">
        <f aca="false">TEXT(A6,"ddd")</f>
        <v>Fri</v>
      </c>
      <c r="G6" s="10" t="str">
        <f aca="false">IF(WEEKDAY(A6,2)&gt;5,"Yes","No")</f>
        <v>No</v>
      </c>
      <c r="H6" s="10"/>
    </row>
    <row r="7" customFormat="false" ht="15" hidden="false" customHeight="true" outlineLevel="0" collapsed="false">
      <c r="A7" s="11" t="n">
        <v>45297</v>
      </c>
      <c r="B7" s="10" t="n">
        <f aca="false">YEAR(A7)</f>
        <v>2024</v>
      </c>
      <c r="C7" s="10" t="n">
        <f aca="false">MONTH(A7)</f>
        <v>1</v>
      </c>
      <c r="D7" s="10" t="str">
        <f aca="false">TEXT(A7,"mmm")</f>
        <v>Jan</v>
      </c>
      <c r="E7" s="10" t="str">
        <f aca="false">"Q"&amp;ROUNDUP(C7/3,0)</f>
        <v>Q1</v>
      </c>
      <c r="F7" s="10" t="str">
        <f aca="false">TEXT(A7,"ddd")</f>
        <v>Sat</v>
      </c>
      <c r="G7" s="10" t="str">
        <f aca="false">IF(WEEKDAY(A7,2)&gt;5,"Yes","No")</f>
        <v>Yes</v>
      </c>
      <c r="H7" s="10"/>
    </row>
    <row r="8" customFormat="false" ht="15" hidden="false" customHeight="true" outlineLevel="0" collapsed="false">
      <c r="A8" s="11" t="n">
        <v>45298</v>
      </c>
      <c r="B8" s="10" t="n">
        <f aca="false">YEAR(A8)</f>
        <v>2024</v>
      </c>
      <c r="C8" s="10" t="n">
        <f aca="false">MONTH(A8)</f>
        <v>1</v>
      </c>
      <c r="D8" s="10" t="str">
        <f aca="false">TEXT(A8,"mmm")</f>
        <v>Jan</v>
      </c>
      <c r="E8" s="10" t="str">
        <f aca="false">"Q"&amp;ROUNDUP(C8/3,0)</f>
        <v>Q1</v>
      </c>
      <c r="F8" s="10" t="str">
        <f aca="false">TEXT(A8,"ddd")</f>
        <v>Sun</v>
      </c>
      <c r="G8" s="10" t="str">
        <f aca="false">IF(WEEKDAY(A8,2)&gt;5,"Yes","No")</f>
        <v>Yes</v>
      </c>
      <c r="H8" s="10"/>
    </row>
    <row r="9" customFormat="false" ht="15" hidden="false" customHeight="true" outlineLevel="0" collapsed="false">
      <c r="A9" s="11" t="n">
        <v>45299</v>
      </c>
      <c r="B9" s="10" t="n">
        <f aca="false">YEAR(A9)</f>
        <v>2024</v>
      </c>
      <c r="C9" s="10" t="n">
        <f aca="false">MONTH(A9)</f>
        <v>1</v>
      </c>
      <c r="D9" s="10" t="str">
        <f aca="false">TEXT(A9,"mmm")</f>
        <v>Jan</v>
      </c>
      <c r="E9" s="10" t="str">
        <f aca="false">"Q"&amp;ROUNDUP(C9/3,0)</f>
        <v>Q1</v>
      </c>
      <c r="F9" s="10" t="str">
        <f aca="false">TEXT(A9,"ddd")</f>
        <v>Mon</v>
      </c>
      <c r="G9" s="10" t="str">
        <f aca="false">IF(WEEKDAY(A9,2)&gt;5,"Yes","No")</f>
        <v>No</v>
      </c>
      <c r="H9" s="10"/>
    </row>
    <row r="10" customFormat="false" ht="15" hidden="false" customHeight="true" outlineLevel="0" collapsed="false">
      <c r="A10" s="11" t="n">
        <v>45300</v>
      </c>
      <c r="B10" s="10" t="n">
        <f aca="false">YEAR(A10)</f>
        <v>2024</v>
      </c>
      <c r="C10" s="10" t="n">
        <f aca="false">MONTH(A10)</f>
        <v>1</v>
      </c>
      <c r="D10" s="10" t="str">
        <f aca="false">TEXT(A10,"mmm")</f>
        <v>Jan</v>
      </c>
      <c r="E10" s="10" t="str">
        <f aca="false">"Q"&amp;ROUNDUP(C10/3,0)</f>
        <v>Q1</v>
      </c>
      <c r="F10" s="10" t="str">
        <f aca="false">TEXT(A10,"ddd")</f>
        <v>Tue</v>
      </c>
      <c r="G10" s="10" t="str">
        <f aca="false">IF(WEEKDAY(A10,2)&gt;5,"Yes","No")</f>
        <v>No</v>
      </c>
      <c r="H10" s="10"/>
    </row>
    <row r="11" customFormat="false" ht="15" hidden="false" customHeight="true" outlineLevel="0" collapsed="false">
      <c r="A11" s="11" t="n">
        <v>45301</v>
      </c>
      <c r="B11" s="10" t="n">
        <f aca="false">YEAR(A11)</f>
        <v>2024</v>
      </c>
      <c r="C11" s="10" t="n">
        <f aca="false">MONTH(A11)</f>
        <v>1</v>
      </c>
      <c r="D11" s="10" t="str">
        <f aca="false">TEXT(A11,"mmm")</f>
        <v>Jan</v>
      </c>
      <c r="E11" s="10" t="str">
        <f aca="false">"Q"&amp;ROUNDUP(C11/3,0)</f>
        <v>Q1</v>
      </c>
      <c r="F11" s="10" t="str">
        <f aca="false">TEXT(A11,"ddd")</f>
        <v>Wed</v>
      </c>
      <c r="G11" s="10" t="str">
        <f aca="false">IF(WEEKDAY(A11,2)&gt;5,"Yes","No")</f>
        <v>No</v>
      </c>
      <c r="H11" s="10"/>
    </row>
    <row r="12" customFormat="false" ht="15" hidden="false" customHeight="true" outlineLevel="0" collapsed="false">
      <c r="A12" s="11" t="n">
        <v>45302</v>
      </c>
      <c r="B12" s="10" t="n">
        <f aca="false">YEAR(A12)</f>
        <v>2024</v>
      </c>
      <c r="C12" s="10" t="n">
        <f aca="false">MONTH(A12)</f>
        <v>1</v>
      </c>
      <c r="D12" s="10" t="str">
        <f aca="false">TEXT(A12,"mmm")</f>
        <v>Jan</v>
      </c>
      <c r="E12" s="10" t="str">
        <f aca="false">"Q"&amp;ROUNDUP(C12/3,0)</f>
        <v>Q1</v>
      </c>
      <c r="F12" s="10" t="str">
        <f aca="false">TEXT(A12,"ddd")</f>
        <v>Thu</v>
      </c>
      <c r="G12" s="10" t="str">
        <f aca="false">IF(WEEKDAY(A12,2)&gt;5,"Yes","No")</f>
        <v>No</v>
      </c>
      <c r="H12" s="10"/>
    </row>
    <row r="13" customFormat="false" ht="15" hidden="false" customHeight="true" outlineLevel="0" collapsed="false">
      <c r="A13" s="11" t="n">
        <v>45303</v>
      </c>
      <c r="B13" s="10" t="n">
        <f aca="false">YEAR(A13)</f>
        <v>2024</v>
      </c>
      <c r="C13" s="10" t="n">
        <f aca="false">MONTH(A13)</f>
        <v>1</v>
      </c>
      <c r="D13" s="10" t="str">
        <f aca="false">TEXT(A13,"mmm")</f>
        <v>Jan</v>
      </c>
      <c r="E13" s="10" t="str">
        <f aca="false">"Q"&amp;ROUNDUP(C13/3,0)</f>
        <v>Q1</v>
      </c>
      <c r="F13" s="10" t="str">
        <f aca="false">TEXT(A13,"ddd")</f>
        <v>Fri</v>
      </c>
      <c r="G13" s="10" t="str">
        <f aca="false">IF(WEEKDAY(A13,2)&gt;5,"Yes","No")</f>
        <v>No</v>
      </c>
      <c r="H13" s="10"/>
    </row>
    <row r="14" customFormat="false" ht="15" hidden="false" customHeight="true" outlineLevel="0" collapsed="false">
      <c r="A14" s="11" t="n">
        <v>45304</v>
      </c>
      <c r="B14" s="10" t="n">
        <f aca="false">YEAR(A14)</f>
        <v>2024</v>
      </c>
      <c r="C14" s="10" t="n">
        <f aca="false">MONTH(A14)</f>
        <v>1</v>
      </c>
      <c r="D14" s="10" t="str">
        <f aca="false">TEXT(A14,"mmm")</f>
        <v>Jan</v>
      </c>
      <c r="E14" s="10" t="str">
        <f aca="false">"Q"&amp;ROUNDUP(C14/3,0)</f>
        <v>Q1</v>
      </c>
      <c r="F14" s="10" t="str">
        <f aca="false">TEXT(A14,"ddd")</f>
        <v>Sat</v>
      </c>
      <c r="G14" s="10" t="str">
        <f aca="false">IF(WEEKDAY(A14,2)&gt;5,"Yes","No")</f>
        <v>Yes</v>
      </c>
      <c r="H14" s="10"/>
    </row>
    <row r="15" customFormat="false" ht="15" hidden="false" customHeight="true" outlineLevel="0" collapsed="false">
      <c r="A15" s="11" t="n">
        <v>45305</v>
      </c>
      <c r="B15" s="10" t="n">
        <f aca="false">YEAR(A15)</f>
        <v>2024</v>
      </c>
      <c r="C15" s="10" t="n">
        <f aca="false">MONTH(A15)</f>
        <v>1</v>
      </c>
      <c r="D15" s="10" t="str">
        <f aca="false">TEXT(A15,"mmm")</f>
        <v>Jan</v>
      </c>
      <c r="E15" s="10" t="str">
        <f aca="false">"Q"&amp;ROUNDUP(C15/3,0)</f>
        <v>Q1</v>
      </c>
      <c r="F15" s="10" t="str">
        <f aca="false">TEXT(A15,"ddd")</f>
        <v>Sun</v>
      </c>
      <c r="G15" s="10" t="str">
        <f aca="false">IF(WEEKDAY(A15,2)&gt;5,"Yes","No")</f>
        <v>Yes</v>
      </c>
      <c r="H15" s="10"/>
    </row>
    <row r="16" customFormat="false" ht="15" hidden="false" customHeight="true" outlineLevel="0" collapsed="false">
      <c r="A16" s="11" t="n">
        <v>45306</v>
      </c>
      <c r="B16" s="10" t="n">
        <f aca="false">YEAR(A16)</f>
        <v>2024</v>
      </c>
      <c r="C16" s="10" t="n">
        <f aca="false">MONTH(A16)</f>
        <v>1</v>
      </c>
      <c r="D16" s="10" t="str">
        <f aca="false">TEXT(A16,"mmm")</f>
        <v>Jan</v>
      </c>
      <c r="E16" s="10" t="str">
        <f aca="false">"Q"&amp;ROUNDUP(C16/3,0)</f>
        <v>Q1</v>
      </c>
      <c r="F16" s="10" t="str">
        <f aca="false">TEXT(A16,"ddd")</f>
        <v>Mon</v>
      </c>
      <c r="G16" s="10" t="str">
        <f aca="false">IF(WEEKDAY(A16,2)&gt;5,"Yes","No")</f>
        <v>No</v>
      </c>
      <c r="H16" s="10"/>
    </row>
    <row r="17" customFormat="false" ht="15" hidden="false" customHeight="true" outlineLevel="0" collapsed="false">
      <c r="A17" s="11" t="n">
        <v>45307</v>
      </c>
      <c r="B17" s="10" t="n">
        <f aca="false">YEAR(A17)</f>
        <v>2024</v>
      </c>
      <c r="C17" s="10" t="n">
        <f aca="false">MONTH(A17)</f>
        <v>1</v>
      </c>
      <c r="D17" s="10" t="str">
        <f aca="false">TEXT(A17,"mmm")</f>
        <v>Jan</v>
      </c>
      <c r="E17" s="10" t="str">
        <f aca="false">"Q"&amp;ROUNDUP(C17/3,0)</f>
        <v>Q1</v>
      </c>
      <c r="F17" s="10" t="str">
        <f aca="false">TEXT(A17,"ddd")</f>
        <v>Tue</v>
      </c>
      <c r="G17" s="10" t="str">
        <f aca="false">IF(WEEKDAY(A17,2)&gt;5,"Yes","No")</f>
        <v>No</v>
      </c>
      <c r="H17" s="10"/>
    </row>
    <row r="18" customFormat="false" ht="15" hidden="false" customHeight="true" outlineLevel="0" collapsed="false">
      <c r="A18" s="11" t="n">
        <v>45308</v>
      </c>
      <c r="B18" s="10" t="n">
        <f aca="false">YEAR(A18)</f>
        <v>2024</v>
      </c>
      <c r="C18" s="10" t="n">
        <f aca="false">MONTH(A18)</f>
        <v>1</v>
      </c>
      <c r="D18" s="10" t="str">
        <f aca="false">TEXT(A18,"mmm")</f>
        <v>Jan</v>
      </c>
      <c r="E18" s="10" t="str">
        <f aca="false">"Q"&amp;ROUNDUP(C18/3,0)</f>
        <v>Q1</v>
      </c>
      <c r="F18" s="10" t="str">
        <f aca="false">TEXT(A18,"ddd")</f>
        <v>Wed</v>
      </c>
      <c r="G18" s="10" t="str">
        <f aca="false">IF(WEEKDAY(A18,2)&gt;5,"Yes","No")</f>
        <v>No</v>
      </c>
      <c r="H18" s="10"/>
    </row>
    <row r="19" customFormat="false" ht="15" hidden="false" customHeight="true" outlineLevel="0" collapsed="false">
      <c r="A19" s="11" t="n">
        <v>45309</v>
      </c>
      <c r="B19" s="10" t="n">
        <f aca="false">YEAR(A19)</f>
        <v>2024</v>
      </c>
      <c r="C19" s="10" t="n">
        <f aca="false">MONTH(A19)</f>
        <v>1</v>
      </c>
      <c r="D19" s="10" t="str">
        <f aca="false">TEXT(A19,"mmm")</f>
        <v>Jan</v>
      </c>
      <c r="E19" s="10" t="str">
        <f aca="false">"Q"&amp;ROUNDUP(C19/3,0)</f>
        <v>Q1</v>
      </c>
      <c r="F19" s="10" t="str">
        <f aca="false">TEXT(A19,"ddd")</f>
        <v>Thu</v>
      </c>
      <c r="G19" s="10" t="str">
        <f aca="false">IF(WEEKDAY(A19,2)&gt;5,"Yes","No")</f>
        <v>No</v>
      </c>
      <c r="H19" s="10"/>
    </row>
    <row r="20" customFormat="false" ht="15" hidden="false" customHeight="true" outlineLevel="0" collapsed="false">
      <c r="A20" s="11" t="n">
        <v>45310</v>
      </c>
      <c r="B20" s="10" t="n">
        <f aca="false">YEAR(A20)</f>
        <v>2024</v>
      </c>
      <c r="C20" s="10" t="n">
        <f aca="false">MONTH(A20)</f>
        <v>1</v>
      </c>
      <c r="D20" s="10" t="str">
        <f aca="false">TEXT(A20,"mmm")</f>
        <v>Jan</v>
      </c>
      <c r="E20" s="10" t="str">
        <f aca="false">"Q"&amp;ROUNDUP(C20/3,0)</f>
        <v>Q1</v>
      </c>
      <c r="F20" s="10" t="str">
        <f aca="false">TEXT(A20,"ddd")</f>
        <v>Fri</v>
      </c>
      <c r="G20" s="10" t="str">
        <f aca="false">IF(WEEKDAY(A20,2)&gt;5,"Yes","No")</f>
        <v>No</v>
      </c>
      <c r="H20" s="10"/>
    </row>
    <row r="21" customFormat="false" ht="15" hidden="false" customHeight="true" outlineLevel="0" collapsed="false">
      <c r="A21" s="11" t="n">
        <v>45311</v>
      </c>
      <c r="B21" s="10" t="n">
        <f aca="false">YEAR(A21)</f>
        <v>2024</v>
      </c>
      <c r="C21" s="10" t="n">
        <f aca="false">MONTH(A21)</f>
        <v>1</v>
      </c>
      <c r="D21" s="10" t="str">
        <f aca="false">TEXT(A21,"mmm")</f>
        <v>Jan</v>
      </c>
      <c r="E21" s="10" t="str">
        <f aca="false">"Q"&amp;ROUNDUP(C21/3,0)</f>
        <v>Q1</v>
      </c>
      <c r="F21" s="10" t="str">
        <f aca="false">TEXT(A21,"ddd")</f>
        <v>Sat</v>
      </c>
      <c r="G21" s="10" t="str">
        <f aca="false">IF(WEEKDAY(A21,2)&gt;5,"Yes","No")</f>
        <v>Yes</v>
      </c>
      <c r="H21" s="10"/>
    </row>
    <row r="22" customFormat="false" ht="15" hidden="false" customHeight="true" outlineLevel="0" collapsed="false">
      <c r="A22" s="11" t="n">
        <v>45312</v>
      </c>
      <c r="B22" s="10" t="n">
        <f aca="false">YEAR(A22)</f>
        <v>2024</v>
      </c>
      <c r="C22" s="10" t="n">
        <f aca="false">MONTH(A22)</f>
        <v>1</v>
      </c>
      <c r="D22" s="10" t="str">
        <f aca="false">TEXT(A22,"mmm")</f>
        <v>Jan</v>
      </c>
      <c r="E22" s="10" t="str">
        <f aca="false">"Q"&amp;ROUNDUP(C22/3,0)</f>
        <v>Q1</v>
      </c>
      <c r="F22" s="10" t="str">
        <f aca="false">TEXT(A22,"ddd")</f>
        <v>Sun</v>
      </c>
      <c r="G22" s="10" t="str">
        <f aca="false">IF(WEEKDAY(A22,2)&gt;5,"Yes","No")</f>
        <v>Yes</v>
      </c>
      <c r="H22" s="10"/>
    </row>
    <row r="23" customFormat="false" ht="15" hidden="false" customHeight="true" outlineLevel="0" collapsed="false">
      <c r="A23" s="11" t="n">
        <v>45313</v>
      </c>
      <c r="B23" s="10" t="n">
        <f aca="false">YEAR(A23)</f>
        <v>2024</v>
      </c>
      <c r="C23" s="10" t="n">
        <f aca="false">MONTH(A23)</f>
        <v>1</v>
      </c>
      <c r="D23" s="10" t="str">
        <f aca="false">TEXT(A23,"mmm")</f>
        <v>Jan</v>
      </c>
      <c r="E23" s="10" t="str">
        <f aca="false">"Q"&amp;ROUNDUP(C23/3,0)</f>
        <v>Q1</v>
      </c>
      <c r="F23" s="10" t="str">
        <f aca="false">TEXT(A23,"ddd")</f>
        <v>Mon</v>
      </c>
      <c r="G23" s="10" t="str">
        <f aca="false">IF(WEEKDAY(A23,2)&gt;5,"Yes","No")</f>
        <v>No</v>
      </c>
      <c r="H23" s="10"/>
    </row>
    <row r="24" customFormat="false" ht="15" hidden="false" customHeight="true" outlineLevel="0" collapsed="false">
      <c r="A24" s="11" t="n">
        <v>45314</v>
      </c>
      <c r="B24" s="10" t="n">
        <f aca="false">YEAR(A24)</f>
        <v>2024</v>
      </c>
      <c r="C24" s="10" t="n">
        <f aca="false">MONTH(A24)</f>
        <v>1</v>
      </c>
      <c r="D24" s="10" t="str">
        <f aca="false">TEXT(A24,"mmm")</f>
        <v>Jan</v>
      </c>
      <c r="E24" s="10" t="str">
        <f aca="false">"Q"&amp;ROUNDUP(C24/3,0)</f>
        <v>Q1</v>
      </c>
      <c r="F24" s="10" t="str">
        <f aca="false">TEXT(A24,"ddd")</f>
        <v>Tue</v>
      </c>
      <c r="G24" s="10" t="str">
        <f aca="false">IF(WEEKDAY(A24,2)&gt;5,"Yes","No")</f>
        <v>No</v>
      </c>
      <c r="H24" s="10"/>
    </row>
    <row r="25" customFormat="false" ht="15" hidden="false" customHeight="true" outlineLevel="0" collapsed="false">
      <c r="A25" s="11" t="n">
        <v>45315</v>
      </c>
      <c r="B25" s="10" t="n">
        <f aca="false">YEAR(A25)</f>
        <v>2024</v>
      </c>
      <c r="C25" s="10" t="n">
        <f aca="false">MONTH(A25)</f>
        <v>1</v>
      </c>
      <c r="D25" s="10" t="str">
        <f aca="false">TEXT(A25,"mmm")</f>
        <v>Jan</v>
      </c>
      <c r="E25" s="10" t="str">
        <f aca="false">"Q"&amp;ROUNDUP(C25/3,0)</f>
        <v>Q1</v>
      </c>
      <c r="F25" s="10" t="str">
        <f aca="false">TEXT(A25,"ddd")</f>
        <v>Wed</v>
      </c>
      <c r="G25" s="10" t="str">
        <f aca="false">IF(WEEKDAY(A25,2)&gt;5,"Yes","No")</f>
        <v>No</v>
      </c>
      <c r="H25" s="10"/>
    </row>
    <row r="26" customFormat="false" ht="15" hidden="false" customHeight="true" outlineLevel="0" collapsed="false">
      <c r="A26" s="11" t="n">
        <v>45316</v>
      </c>
      <c r="B26" s="10" t="n">
        <f aca="false">YEAR(A26)</f>
        <v>2024</v>
      </c>
      <c r="C26" s="10" t="n">
        <f aca="false">MONTH(A26)</f>
        <v>1</v>
      </c>
      <c r="D26" s="10" t="str">
        <f aca="false">TEXT(A26,"mmm")</f>
        <v>Jan</v>
      </c>
      <c r="E26" s="10" t="str">
        <f aca="false">"Q"&amp;ROUNDUP(C26/3,0)</f>
        <v>Q1</v>
      </c>
      <c r="F26" s="10" t="str">
        <f aca="false">TEXT(A26,"ddd")</f>
        <v>Thu</v>
      </c>
      <c r="G26" s="10" t="str">
        <f aca="false">IF(WEEKDAY(A26,2)&gt;5,"Yes","No")</f>
        <v>No</v>
      </c>
      <c r="H26" s="10"/>
    </row>
    <row r="27" customFormat="false" ht="15" hidden="false" customHeight="true" outlineLevel="0" collapsed="false">
      <c r="A27" s="11" t="n">
        <v>45317</v>
      </c>
      <c r="B27" s="10" t="n">
        <f aca="false">YEAR(A27)</f>
        <v>2024</v>
      </c>
      <c r="C27" s="10" t="n">
        <f aca="false">MONTH(A27)</f>
        <v>1</v>
      </c>
      <c r="D27" s="10" t="str">
        <f aca="false">TEXT(A27,"mmm")</f>
        <v>Jan</v>
      </c>
      <c r="E27" s="10" t="str">
        <f aca="false">"Q"&amp;ROUNDUP(C27/3,0)</f>
        <v>Q1</v>
      </c>
      <c r="F27" s="10" t="str">
        <f aca="false">TEXT(A27,"ddd")</f>
        <v>Fri</v>
      </c>
      <c r="G27" s="10" t="str">
        <f aca="false">IF(WEEKDAY(A27,2)&gt;5,"Yes","No")</f>
        <v>No</v>
      </c>
      <c r="H27" s="10"/>
    </row>
    <row r="28" customFormat="false" ht="15" hidden="false" customHeight="true" outlineLevel="0" collapsed="false">
      <c r="A28" s="11" t="n">
        <v>45318</v>
      </c>
      <c r="B28" s="10" t="n">
        <f aca="false">YEAR(A28)</f>
        <v>2024</v>
      </c>
      <c r="C28" s="10" t="n">
        <f aca="false">MONTH(A28)</f>
        <v>1</v>
      </c>
      <c r="D28" s="10" t="str">
        <f aca="false">TEXT(A28,"mmm")</f>
        <v>Jan</v>
      </c>
      <c r="E28" s="10" t="str">
        <f aca="false">"Q"&amp;ROUNDUP(C28/3,0)</f>
        <v>Q1</v>
      </c>
      <c r="F28" s="10" t="str">
        <f aca="false">TEXT(A28,"ddd")</f>
        <v>Sat</v>
      </c>
      <c r="G28" s="10" t="str">
        <f aca="false">IF(WEEKDAY(A28,2)&gt;5,"Yes","No")</f>
        <v>Yes</v>
      </c>
      <c r="H28" s="10"/>
    </row>
    <row r="29" customFormat="false" ht="15" hidden="false" customHeight="true" outlineLevel="0" collapsed="false">
      <c r="A29" s="11" t="n">
        <v>45319</v>
      </c>
      <c r="B29" s="10" t="n">
        <f aca="false">YEAR(A29)</f>
        <v>2024</v>
      </c>
      <c r="C29" s="10" t="n">
        <f aca="false">MONTH(A29)</f>
        <v>1</v>
      </c>
      <c r="D29" s="10" t="str">
        <f aca="false">TEXT(A29,"mmm")</f>
        <v>Jan</v>
      </c>
      <c r="E29" s="10" t="str">
        <f aca="false">"Q"&amp;ROUNDUP(C29/3,0)</f>
        <v>Q1</v>
      </c>
      <c r="F29" s="10" t="str">
        <f aca="false">TEXT(A29,"ddd")</f>
        <v>Sun</v>
      </c>
      <c r="G29" s="10" t="str">
        <f aca="false">IF(WEEKDAY(A29,2)&gt;5,"Yes","No")</f>
        <v>Yes</v>
      </c>
      <c r="H29" s="10"/>
    </row>
    <row r="30" customFormat="false" ht="15" hidden="false" customHeight="true" outlineLevel="0" collapsed="false">
      <c r="A30" s="11" t="n">
        <v>45320</v>
      </c>
      <c r="B30" s="10" t="n">
        <f aca="false">YEAR(A30)</f>
        <v>2024</v>
      </c>
      <c r="C30" s="10" t="n">
        <f aca="false">MONTH(A30)</f>
        <v>1</v>
      </c>
      <c r="D30" s="10" t="str">
        <f aca="false">TEXT(A30,"mmm")</f>
        <v>Jan</v>
      </c>
      <c r="E30" s="10" t="str">
        <f aca="false">"Q"&amp;ROUNDUP(C30/3,0)</f>
        <v>Q1</v>
      </c>
      <c r="F30" s="10" t="str">
        <f aca="false">TEXT(A30,"ddd")</f>
        <v>Mon</v>
      </c>
      <c r="G30" s="10" t="str">
        <f aca="false">IF(WEEKDAY(A30,2)&gt;5,"Yes","No")</f>
        <v>No</v>
      </c>
      <c r="H30" s="10"/>
    </row>
    <row r="31" customFormat="false" ht="15" hidden="false" customHeight="true" outlineLevel="0" collapsed="false">
      <c r="A31" s="11" t="n">
        <v>45321</v>
      </c>
      <c r="B31" s="10" t="n">
        <f aca="false">YEAR(A31)</f>
        <v>2024</v>
      </c>
      <c r="C31" s="10" t="n">
        <f aca="false">MONTH(A31)</f>
        <v>1</v>
      </c>
      <c r="D31" s="10" t="str">
        <f aca="false">TEXT(A31,"mmm")</f>
        <v>Jan</v>
      </c>
      <c r="E31" s="10" t="str">
        <f aca="false">"Q"&amp;ROUNDUP(C31/3,0)</f>
        <v>Q1</v>
      </c>
      <c r="F31" s="10" t="str">
        <f aca="false">TEXT(A31,"ddd")</f>
        <v>Tue</v>
      </c>
      <c r="G31" s="10" t="str">
        <f aca="false">IF(WEEKDAY(A31,2)&gt;5,"Yes","No")</f>
        <v>No</v>
      </c>
      <c r="H31" s="10"/>
    </row>
    <row r="32" customFormat="false" ht="15" hidden="false" customHeight="true" outlineLevel="0" collapsed="false">
      <c r="A32" s="11" t="n">
        <v>45322</v>
      </c>
      <c r="B32" s="10" t="n">
        <f aca="false">YEAR(A32)</f>
        <v>2024</v>
      </c>
      <c r="C32" s="10" t="n">
        <f aca="false">MONTH(A32)</f>
        <v>1</v>
      </c>
      <c r="D32" s="10" t="str">
        <f aca="false">TEXT(A32,"mmm")</f>
        <v>Jan</v>
      </c>
      <c r="E32" s="10" t="str">
        <f aca="false">"Q"&amp;ROUNDUP(C32/3,0)</f>
        <v>Q1</v>
      </c>
      <c r="F32" s="10" t="str">
        <f aca="false">TEXT(A32,"ddd")</f>
        <v>Wed</v>
      </c>
      <c r="G32" s="10" t="str">
        <f aca="false">IF(WEEKDAY(A32,2)&gt;5,"Yes","No")</f>
        <v>No</v>
      </c>
      <c r="H32" s="10"/>
    </row>
    <row r="33" customFormat="false" ht="15" hidden="false" customHeight="true" outlineLevel="0" collapsed="false">
      <c r="A33" s="11" t="n">
        <v>45323</v>
      </c>
      <c r="B33" s="10" t="n">
        <f aca="false">YEAR(A33)</f>
        <v>2024</v>
      </c>
      <c r="C33" s="10" t="n">
        <f aca="false">MONTH(A33)</f>
        <v>2</v>
      </c>
      <c r="D33" s="10" t="str">
        <f aca="false">TEXT(A33,"mmm")</f>
        <v>Feb</v>
      </c>
      <c r="E33" s="10" t="str">
        <f aca="false">"Q"&amp;ROUNDUP(C33/3,0)</f>
        <v>Q1</v>
      </c>
      <c r="F33" s="10" t="str">
        <f aca="false">TEXT(A33,"ddd")</f>
        <v>Thu</v>
      </c>
      <c r="G33" s="10" t="str">
        <f aca="false">IF(WEEKDAY(A33,2)&gt;5,"Yes","No")</f>
        <v>No</v>
      </c>
      <c r="H33" s="10"/>
    </row>
    <row r="34" customFormat="false" ht="15" hidden="false" customHeight="true" outlineLevel="0" collapsed="false">
      <c r="A34" s="11" t="n">
        <v>45324</v>
      </c>
      <c r="B34" s="10" t="n">
        <f aca="false">YEAR(A34)</f>
        <v>2024</v>
      </c>
      <c r="C34" s="10" t="n">
        <f aca="false">MONTH(A34)</f>
        <v>2</v>
      </c>
      <c r="D34" s="10" t="str">
        <f aca="false">TEXT(A34,"mmm")</f>
        <v>Feb</v>
      </c>
      <c r="E34" s="10" t="str">
        <f aca="false">"Q"&amp;ROUNDUP(C34/3,0)</f>
        <v>Q1</v>
      </c>
      <c r="F34" s="10" t="str">
        <f aca="false">TEXT(A34,"ddd")</f>
        <v>Fri</v>
      </c>
      <c r="G34" s="10" t="str">
        <f aca="false">IF(WEEKDAY(A34,2)&gt;5,"Yes","No")</f>
        <v>No</v>
      </c>
      <c r="H34" s="10"/>
    </row>
    <row r="35" customFormat="false" ht="15" hidden="false" customHeight="true" outlineLevel="0" collapsed="false">
      <c r="A35" s="11" t="n">
        <v>45325</v>
      </c>
      <c r="B35" s="10" t="n">
        <f aca="false">YEAR(A35)</f>
        <v>2024</v>
      </c>
      <c r="C35" s="10" t="n">
        <f aca="false">MONTH(A35)</f>
        <v>2</v>
      </c>
      <c r="D35" s="10" t="str">
        <f aca="false">TEXT(A35,"mmm")</f>
        <v>Feb</v>
      </c>
      <c r="E35" s="10" t="str">
        <f aca="false">"Q"&amp;ROUNDUP(C35/3,0)</f>
        <v>Q1</v>
      </c>
      <c r="F35" s="10" t="str">
        <f aca="false">TEXT(A35,"ddd")</f>
        <v>Sat</v>
      </c>
      <c r="G35" s="10" t="str">
        <f aca="false">IF(WEEKDAY(A35,2)&gt;5,"Yes","No")</f>
        <v>Yes</v>
      </c>
      <c r="H35" s="10"/>
    </row>
    <row r="36" customFormat="false" ht="15" hidden="false" customHeight="true" outlineLevel="0" collapsed="false">
      <c r="A36" s="11" t="n">
        <v>45326</v>
      </c>
      <c r="B36" s="10" t="n">
        <f aca="false">YEAR(A36)</f>
        <v>2024</v>
      </c>
      <c r="C36" s="10" t="n">
        <f aca="false">MONTH(A36)</f>
        <v>2</v>
      </c>
      <c r="D36" s="10" t="str">
        <f aca="false">TEXT(A36,"mmm")</f>
        <v>Feb</v>
      </c>
      <c r="E36" s="10" t="str">
        <f aca="false">"Q"&amp;ROUNDUP(C36/3,0)</f>
        <v>Q1</v>
      </c>
      <c r="F36" s="10" t="str">
        <f aca="false">TEXT(A36,"ddd")</f>
        <v>Sun</v>
      </c>
      <c r="G36" s="10" t="str">
        <f aca="false">IF(WEEKDAY(A36,2)&gt;5,"Yes","No")</f>
        <v>Yes</v>
      </c>
      <c r="H36" s="10"/>
    </row>
    <row r="37" customFormat="false" ht="15" hidden="false" customHeight="true" outlineLevel="0" collapsed="false">
      <c r="A37" s="11" t="n">
        <v>45327</v>
      </c>
      <c r="B37" s="10" t="n">
        <f aca="false">YEAR(A37)</f>
        <v>2024</v>
      </c>
      <c r="C37" s="10" t="n">
        <f aca="false">MONTH(A37)</f>
        <v>2</v>
      </c>
      <c r="D37" s="10" t="str">
        <f aca="false">TEXT(A37,"mmm")</f>
        <v>Feb</v>
      </c>
      <c r="E37" s="10" t="str">
        <f aca="false">"Q"&amp;ROUNDUP(C37/3,0)</f>
        <v>Q1</v>
      </c>
      <c r="F37" s="10" t="str">
        <f aca="false">TEXT(A37,"ddd")</f>
        <v>Mon</v>
      </c>
      <c r="G37" s="10" t="str">
        <f aca="false">IF(WEEKDAY(A37,2)&gt;5,"Yes","No")</f>
        <v>No</v>
      </c>
      <c r="H37" s="10"/>
    </row>
    <row r="38" customFormat="false" ht="15" hidden="false" customHeight="true" outlineLevel="0" collapsed="false">
      <c r="A38" s="11" t="n">
        <v>45328</v>
      </c>
      <c r="B38" s="10" t="n">
        <f aca="false">YEAR(A38)</f>
        <v>2024</v>
      </c>
      <c r="C38" s="10" t="n">
        <f aca="false">MONTH(A38)</f>
        <v>2</v>
      </c>
      <c r="D38" s="10" t="str">
        <f aca="false">TEXT(A38,"mmm")</f>
        <v>Feb</v>
      </c>
      <c r="E38" s="10" t="str">
        <f aca="false">"Q"&amp;ROUNDUP(C38/3,0)</f>
        <v>Q1</v>
      </c>
      <c r="F38" s="10" t="str">
        <f aca="false">TEXT(A38,"ddd")</f>
        <v>Tue</v>
      </c>
      <c r="G38" s="10" t="str">
        <f aca="false">IF(WEEKDAY(A38,2)&gt;5,"Yes","No")</f>
        <v>No</v>
      </c>
      <c r="H38" s="10"/>
    </row>
    <row r="39" customFormat="false" ht="15" hidden="false" customHeight="true" outlineLevel="0" collapsed="false">
      <c r="A39" s="11" t="n">
        <v>45329</v>
      </c>
      <c r="B39" s="10" t="n">
        <f aca="false">YEAR(A39)</f>
        <v>2024</v>
      </c>
      <c r="C39" s="10" t="n">
        <f aca="false">MONTH(A39)</f>
        <v>2</v>
      </c>
      <c r="D39" s="10" t="str">
        <f aca="false">TEXT(A39,"mmm")</f>
        <v>Feb</v>
      </c>
      <c r="E39" s="10" t="str">
        <f aca="false">"Q"&amp;ROUNDUP(C39/3,0)</f>
        <v>Q1</v>
      </c>
      <c r="F39" s="10" t="str">
        <f aca="false">TEXT(A39,"ddd")</f>
        <v>Wed</v>
      </c>
      <c r="G39" s="10" t="str">
        <f aca="false">IF(WEEKDAY(A39,2)&gt;5,"Yes","No")</f>
        <v>No</v>
      </c>
      <c r="H39" s="10"/>
    </row>
    <row r="40" customFormat="false" ht="15" hidden="false" customHeight="true" outlineLevel="0" collapsed="false">
      <c r="A40" s="11" t="n">
        <v>45330</v>
      </c>
      <c r="B40" s="10" t="n">
        <f aca="false">YEAR(A40)</f>
        <v>2024</v>
      </c>
      <c r="C40" s="10" t="n">
        <f aca="false">MONTH(A40)</f>
        <v>2</v>
      </c>
      <c r="D40" s="10" t="str">
        <f aca="false">TEXT(A40,"mmm")</f>
        <v>Feb</v>
      </c>
      <c r="E40" s="10" t="str">
        <f aca="false">"Q"&amp;ROUNDUP(C40/3,0)</f>
        <v>Q1</v>
      </c>
      <c r="F40" s="10" t="str">
        <f aca="false">TEXT(A40,"ddd")</f>
        <v>Thu</v>
      </c>
      <c r="G40" s="10" t="str">
        <f aca="false">IF(WEEKDAY(A40,2)&gt;5,"Yes","No")</f>
        <v>No</v>
      </c>
      <c r="H40" s="10"/>
    </row>
    <row r="41" customFormat="false" ht="15" hidden="false" customHeight="true" outlineLevel="0" collapsed="false">
      <c r="A41" s="11" t="n">
        <v>45331</v>
      </c>
      <c r="B41" s="10" t="n">
        <f aca="false">YEAR(A41)</f>
        <v>2024</v>
      </c>
      <c r="C41" s="10" t="n">
        <f aca="false">MONTH(A41)</f>
        <v>2</v>
      </c>
      <c r="D41" s="10" t="str">
        <f aca="false">TEXT(A41,"mmm")</f>
        <v>Feb</v>
      </c>
      <c r="E41" s="10" t="str">
        <f aca="false">"Q"&amp;ROUNDUP(C41/3,0)</f>
        <v>Q1</v>
      </c>
      <c r="F41" s="10" t="str">
        <f aca="false">TEXT(A41,"ddd")</f>
        <v>Fri</v>
      </c>
      <c r="G41" s="10" t="str">
        <f aca="false">IF(WEEKDAY(A41,2)&gt;5,"Yes","No")</f>
        <v>No</v>
      </c>
      <c r="H41" s="10"/>
    </row>
    <row r="42" customFormat="false" ht="15" hidden="false" customHeight="true" outlineLevel="0" collapsed="false">
      <c r="A42" s="11" t="n">
        <v>45332</v>
      </c>
      <c r="B42" s="10" t="n">
        <f aca="false">YEAR(A42)</f>
        <v>2024</v>
      </c>
      <c r="C42" s="10" t="n">
        <f aca="false">MONTH(A42)</f>
        <v>2</v>
      </c>
      <c r="D42" s="10" t="str">
        <f aca="false">TEXT(A42,"mmm")</f>
        <v>Feb</v>
      </c>
      <c r="E42" s="10" t="str">
        <f aca="false">"Q"&amp;ROUNDUP(C42/3,0)</f>
        <v>Q1</v>
      </c>
      <c r="F42" s="10" t="str">
        <f aca="false">TEXT(A42,"ddd")</f>
        <v>Sat</v>
      </c>
      <c r="G42" s="10" t="str">
        <f aca="false">IF(WEEKDAY(A42,2)&gt;5,"Yes","No")</f>
        <v>Yes</v>
      </c>
      <c r="H42" s="10"/>
    </row>
    <row r="43" customFormat="false" ht="15" hidden="false" customHeight="true" outlineLevel="0" collapsed="false">
      <c r="A43" s="11" t="n">
        <v>45333</v>
      </c>
      <c r="B43" s="10" t="n">
        <f aca="false">YEAR(A43)</f>
        <v>2024</v>
      </c>
      <c r="C43" s="10" t="n">
        <f aca="false">MONTH(A43)</f>
        <v>2</v>
      </c>
      <c r="D43" s="10" t="str">
        <f aca="false">TEXT(A43,"mmm")</f>
        <v>Feb</v>
      </c>
      <c r="E43" s="10" t="str">
        <f aca="false">"Q"&amp;ROUNDUP(C43/3,0)</f>
        <v>Q1</v>
      </c>
      <c r="F43" s="10" t="str">
        <f aca="false">TEXT(A43,"ddd")</f>
        <v>Sun</v>
      </c>
      <c r="G43" s="10" t="str">
        <f aca="false">IF(WEEKDAY(A43,2)&gt;5,"Yes","No")</f>
        <v>Yes</v>
      </c>
      <c r="H43" s="10"/>
    </row>
    <row r="44" customFormat="false" ht="15" hidden="false" customHeight="true" outlineLevel="0" collapsed="false">
      <c r="A44" s="11" t="n">
        <v>45334</v>
      </c>
      <c r="B44" s="10" t="n">
        <f aca="false">YEAR(A44)</f>
        <v>2024</v>
      </c>
      <c r="C44" s="10" t="n">
        <f aca="false">MONTH(A44)</f>
        <v>2</v>
      </c>
      <c r="D44" s="10" t="str">
        <f aca="false">TEXT(A44,"mmm")</f>
        <v>Feb</v>
      </c>
      <c r="E44" s="10" t="str">
        <f aca="false">"Q"&amp;ROUNDUP(C44/3,0)</f>
        <v>Q1</v>
      </c>
      <c r="F44" s="10" t="str">
        <f aca="false">TEXT(A44,"ddd")</f>
        <v>Mon</v>
      </c>
      <c r="G44" s="10" t="str">
        <f aca="false">IF(WEEKDAY(A44,2)&gt;5,"Yes","No")</f>
        <v>No</v>
      </c>
      <c r="H44" s="10"/>
    </row>
    <row r="45" customFormat="false" ht="15" hidden="false" customHeight="true" outlineLevel="0" collapsed="false">
      <c r="A45" s="11" t="n">
        <v>45335</v>
      </c>
      <c r="B45" s="10" t="n">
        <f aca="false">YEAR(A45)</f>
        <v>2024</v>
      </c>
      <c r="C45" s="10" t="n">
        <f aca="false">MONTH(A45)</f>
        <v>2</v>
      </c>
      <c r="D45" s="10" t="str">
        <f aca="false">TEXT(A45,"mmm")</f>
        <v>Feb</v>
      </c>
      <c r="E45" s="10" t="str">
        <f aca="false">"Q"&amp;ROUNDUP(C45/3,0)</f>
        <v>Q1</v>
      </c>
      <c r="F45" s="10" t="str">
        <f aca="false">TEXT(A45,"ddd")</f>
        <v>Tue</v>
      </c>
      <c r="G45" s="10" t="str">
        <f aca="false">IF(WEEKDAY(A45,2)&gt;5,"Yes","No")</f>
        <v>No</v>
      </c>
      <c r="H45" s="10"/>
    </row>
    <row r="46" customFormat="false" ht="15" hidden="false" customHeight="true" outlineLevel="0" collapsed="false">
      <c r="A46" s="11" t="n">
        <v>45336</v>
      </c>
      <c r="B46" s="10" t="n">
        <f aca="false">YEAR(A46)</f>
        <v>2024</v>
      </c>
      <c r="C46" s="10" t="n">
        <f aca="false">MONTH(A46)</f>
        <v>2</v>
      </c>
      <c r="D46" s="10" t="str">
        <f aca="false">TEXT(A46,"mmm")</f>
        <v>Feb</v>
      </c>
      <c r="E46" s="10" t="str">
        <f aca="false">"Q"&amp;ROUNDUP(C46/3,0)</f>
        <v>Q1</v>
      </c>
      <c r="F46" s="10" t="str">
        <f aca="false">TEXT(A46,"ddd")</f>
        <v>Wed</v>
      </c>
      <c r="G46" s="10" t="str">
        <f aca="false">IF(WEEKDAY(A46,2)&gt;5,"Yes","No")</f>
        <v>No</v>
      </c>
      <c r="H46" s="10"/>
    </row>
    <row r="47" customFormat="false" ht="15" hidden="false" customHeight="true" outlineLevel="0" collapsed="false">
      <c r="A47" s="11" t="n">
        <v>45337</v>
      </c>
      <c r="B47" s="10" t="n">
        <f aca="false">YEAR(A47)</f>
        <v>2024</v>
      </c>
      <c r="C47" s="10" t="n">
        <f aca="false">MONTH(A47)</f>
        <v>2</v>
      </c>
      <c r="D47" s="10" t="str">
        <f aca="false">TEXT(A47,"mmm")</f>
        <v>Feb</v>
      </c>
      <c r="E47" s="10" t="str">
        <f aca="false">"Q"&amp;ROUNDUP(C47/3,0)</f>
        <v>Q1</v>
      </c>
      <c r="F47" s="10" t="str">
        <f aca="false">TEXT(A47,"ddd")</f>
        <v>Thu</v>
      </c>
      <c r="G47" s="10" t="str">
        <f aca="false">IF(WEEKDAY(A47,2)&gt;5,"Yes","No")</f>
        <v>No</v>
      </c>
      <c r="H47" s="10"/>
    </row>
    <row r="48" customFormat="false" ht="15" hidden="false" customHeight="true" outlineLevel="0" collapsed="false">
      <c r="A48" s="11" t="n">
        <v>45338</v>
      </c>
      <c r="B48" s="10" t="n">
        <f aca="false">YEAR(A48)</f>
        <v>2024</v>
      </c>
      <c r="C48" s="10" t="n">
        <f aca="false">MONTH(A48)</f>
        <v>2</v>
      </c>
      <c r="D48" s="10" t="str">
        <f aca="false">TEXT(A48,"mmm")</f>
        <v>Feb</v>
      </c>
      <c r="E48" s="10" t="str">
        <f aca="false">"Q"&amp;ROUNDUP(C48/3,0)</f>
        <v>Q1</v>
      </c>
      <c r="F48" s="10" t="str">
        <f aca="false">TEXT(A48,"ddd")</f>
        <v>Fri</v>
      </c>
      <c r="G48" s="10" t="str">
        <f aca="false">IF(WEEKDAY(A48,2)&gt;5,"Yes","No")</f>
        <v>No</v>
      </c>
      <c r="H48" s="10"/>
    </row>
    <row r="49" customFormat="false" ht="15" hidden="false" customHeight="true" outlineLevel="0" collapsed="false">
      <c r="A49" s="11" t="n">
        <v>45339</v>
      </c>
      <c r="B49" s="10" t="n">
        <f aca="false">YEAR(A49)</f>
        <v>2024</v>
      </c>
      <c r="C49" s="10" t="n">
        <f aca="false">MONTH(A49)</f>
        <v>2</v>
      </c>
      <c r="D49" s="10" t="str">
        <f aca="false">TEXT(A49,"mmm")</f>
        <v>Feb</v>
      </c>
      <c r="E49" s="10" t="str">
        <f aca="false">"Q"&amp;ROUNDUP(C49/3,0)</f>
        <v>Q1</v>
      </c>
      <c r="F49" s="10" t="str">
        <f aca="false">TEXT(A49,"ddd")</f>
        <v>Sat</v>
      </c>
      <c r="G49" s="10" t="str">
        <f aca="false">IF(WEEKDAY(A49,2)&gt;5,"Yes","No")</f>
        <v>Yes</v>
      </c>
      <c r="H49" s="10"/>
    </row>
    <row r="50" customFormat="false" ht="15" hidden="false" customHeight="true" outlineLevel="0" collapsed="false">
      <c r="A50" s="11" t="n">
        <v>45340</v>
      </c>
      <c r="B50" s="10" t="n">
        <f aca="false">YEAR(A50)</f>
        <v>2024</v>
      </c>
      <c r="C50" s="10" t="n">
        <f aca="false">MONTH(A50)</f>
        <v>2</v>
      </c>
      <c r="D50" s="10" t="str">
        <f aca="false">TEXT(A50,"mmm")</f>
        <v>Feb</v>
      </c>
      <c r="E50" s="10" t="str">
        <f aca="false">"Q"&amp;ROUNDUP(C50/3,0)</f>
        <v>Q1</v>
      </c>
      <c r="F50" s="10" t="str">
        <f aca="false">TEXT(A50,"ddd")</f>
        <v>Sun</v>
      </c>
      <c r="G50" s="10" t="str">
        <f aca="false">IF(WEEKDAY(A50,2)&gt;5,"Yes","No")</f>
        <v>Yes</v>
      </c>
      <c r="H50" s="10"/>
    </row>
    <row r="51" customFormat="false" ht="15" hidden="false" customHeight="true" outlineLevel="0" collapsed="false">
      <c r="A51" s="11" t="n">
        <v>45341</v>
      </c>
      <c r="B51" s="10" t="n">
        <f aca="false">YEAR(A51)</f>
        <v>2024</v>
      </c>
      <c r="C51" s="10" t="n">
        <f aca="false">MONTH(A51)</f>
        <v>2</v>
      </c>
      <c r="D51" s="10" t="str">
        <f aca="false">TEXT(A51,"mmm")</f>
        <v>Feb</v>
      </c>
      <c r="E51" s="10" t="str">
        <f aca="false">"Q"&amp;ROUNDUP(C51/3,0)</f>
        <v>Q1</v>
      </c>
      <c r="F51" s="10" t="str">
        <f aca="false">TEXT(A51,"ddd")</f>
        <v>Mon</v>
      </c>
      <c r="G51" s="10" t="str">
        <f aca="false">IF(WEEKDAY(A51,2)&gt;5,"Yes","No")</f>
        <v>No</v>
      </c>
      <c r="H51" s="10"/>
    </row>
    <row r="52" customFormat="false" ht="15" hidden="false" customHeight="true" outlineLevel="0" collapsed="false">
      <c r="A52" s="11" t="n">
        <v>45342</v>
      </c>
      <c r="B52" s="10" t="n">
        <f aca="false">YEAR(A52)</f>
        <v>2024</v>
      </c>
      <c r="C52" s="10" t="n">
        <f aca="false">MONTH(A52)</f>
        <v>2</v>
      </c>
      <c r="D52" s="10" t="str">
        <f aca="false">TEXT(A52,"mmm")</f>
        <v>Feb</v>
      </c>
      <c r="E52" s="10" t="str">
        <f aca="false">"Q"&amp;ROUNDUP(C52/3,0)</f>
        <v>Q1</v>
      </c>
      <c r="F52" s="10" t="str">
        <f aca="false">TEXT(A52,"ddd")</f>
        <v>Tue</v>
      </c>
      <c r="G52" s="10" t="str">
        <f aca="false">IF(WEEKDAY(A52,2)&gt;5,"Yes","No")</f>
        <v>No</v>
      </c>
      <c r="H52" s="10"/>
    </row>
    <row r="53" customFormat="false" ht="15" hidden="false" customHeight="true" outlineLevel="0" collapsed="false">
      <c r="A53" s="11" t="n">
        <v>45343</v>
      </c>
      <c r="B53" s="10" t="n">
        <f aca="false">YEAR(A53)</f>
        <v>2024</v>
      </c>
      <c r="C53" s="10" t="n">
        <f aca="false">MONTH(A53)</f>
        <v>2</v>
      </c>
      <c r="D53" s="10" t="str">
        <f aca="false">TEXT(A53,"mmm")</f>
        <v>Feb</v>
      </c>
      <c r="E53" s="10" t="str">
        <f aca="false">"Q"&amp;ROUNDUP(C53/3,0)</f>
        <v>Q1</v>
      </c>
      <c r="F53" s="10" t="str">
        <f aca="false">TEXT(A53,"ddd")</f>
        <v>Wed</v>
      </c>
      <c r="G53" s="10" t="str">
        <f aca="false">IF(WEEKDAY(A53,2)&gt;5,"Yes","No")</f>
        <v>No</v>
      </c>
      <c r="H53" s="10"/>
    </row>
    <row r="54" customFormat="false" ht="15" hidden="false" customHeight="true" outlineLevel="0" collapsed="false">
      <c r="A54" s="11" t="n">
        <v>45344</v>
      </c>
      <c r="B54" s="10" t="n">
        <f aca="false">YEAR(A54)</f>
        <v>2024</v>
      </c>
      <c r="C54" s="10" t="n">
        <f aca="false">MONTH(A54)</f>
        <v>2</v>
      </c>
      <c r="D54" s="10" t="str">
        <f aca="false">TEXT(A54,"mmm")</f>
        <v>Feb</v>
      </c>
      <c r="E54" s="10" t="str">
        <f aca="false">"Q"&amp;ROUNDUP(C54/3,0)</f>
        <v>Q1</v>
      </c>
      <c r="F54" s="10" t="str">
        <f aca="false">TEXT(A54,"ddd")</f>
        <v>Thu</v>
      </c>
      <c r="G54" s="10" t="str">
        <f aca="false">IF(WEEKDAY(A54,2)&gt;5,"Yes","No")</f>
        <v>No</v>
      </c>
      <c r="H54" s="10"/>
    </row>
    <row r="55" customFormat="false" ht="15" hidden="false" customHeight="true" outlineLevel="0" collapsed="false">
      <c r="A55" s="11" t="n">
        <v>45345</v>
      </c>
      <c r="B55" s="10" t="n">
        <f aca="false">YEAR(A55)</f>
        <v>2024</v>
      </c>
      <c r="C55" s="10" t="n">
        <f aca="false">MONTH(A55)</f>
        <v>2</v>
      </c>
      <c r="D55" s="10" t="str">
        <f aca="false">TEXT(A55,"mmm")</f>
        <v>Feb</v>
      </c>
      <c r="E55" s="10" t="str">
        <f aca="false">"Q"&amp;ROUNDUP(C55/3,0)</f>
        <v>Q1</v>
      </c>
      <c r="F55" s="10" t="str">
        <f aca="false">TEXT(A55,"ddd")</f>
        <v>Fri</v>
      </c>
      <c r="G55" s="10" t="str">
        <f aca="false">IF(WEEKDAY(A55,2)&gt;5,"Yes","No")</f>
        <v>No</v>
      </c>
      <c r="H55" s="10"/>
    </row>
    <row r="56" customFormat="false" ht="15" hidden="false" customHeight="true" outlineLevel="0" collapsed="false">
      <c r="A56" s="11" t="n">
        <v>45346</v>
      </c>
      <c r="B56" s="10" t="n">
        <f aca="false">YEAR(A56)</f>
        <v>2024</v>
      </c>
      <c r="C56" s="10" t="n">
        <f aca="false">MONTH(A56)</f>
        <v>2</v>
      </c>
      <c r="D56" s="10" t="str">
        <f aca="false">TEXT(A56,"mmm")</f>
        <v>Feb</v>
      </c>
      <c r="E56" s="10" t="str">
        <f aca="false">"Q"&amp;ROUNDUP(C56/3,0)</f>
        <v>Q1</v>
      </c>
      <c r="F56" s="10" t="str">
        <f aca="false">TEXT(A56,"ddd")</f>
        <v>Sat</v>
      </c>
      <c r="G56" s="10" t="str">
        <f aca="false">IF(WEEKDAY(A56,2)&gt;5,"Yes","No")</f>
        <v>Yes</v>
      </c>
      <c r="H56" s="10"/>
    </row>
    <row r="57" customFormat="false" ht="15" hidden="false" customHeight="true" outlineLevel="0" collapsed="false">
      <c r="A57" s="11" t="n">
        <v>45347</v>
      </c>
      <c r="B57" s="10" t="n">
        <f aca="false">YEAR(A57)</f>
        <v>2024</v>
      </c>
      <c r="C57" s="10" t="n">
        <f aca="false">MONTH(A57)</f>
        <v>2</v>
      </c>
      <c r="D57" s="10" t="str">
        <f aca="false">TEXT(A57,"mmm")</f>
        <v>Feb</v>
      </c>
      <c r="E57" s="10" t="str">
        <f aca="false">"Q"&amp;ROUNDUP(C57/3,0)</f>
        <v>Q1</v>
      </c>
      <c r="F57" s="10" t="str">
        <f aca="false">TEXT(A57,"ddd")</f>
        <v>Sun</v>
      </c>
      <c r="G57" s="10" t="str">
        <f aca="false">IF(WEEKDAY(A57,2)&gt;5,"Yes","No")</f>
        <v>Yes</v>
      </c>
      <c r="H57" s="10"/>
    </row>
    <row r="58" customFormat="false" ht="15" hidden="false" customHeight="true" outlineLevel="0" collapsed="false">
      <c r="A58" s="11" t="n">
        <v>45348</v>
      </c>
      <c r="B58" s="10" t="n">
        <f aca="false">YEAR(A58)</f>
        <v>2024</v>
      </c>
      <c r="C58" s="10" t="n">
        <f aca="false">MONTH(A58)</f>
        <v>2</v>
      </c>
      <c r="D58" s="10" t="str">
        <f aca="false">TEXT(A58,"mmm")</f>
        <v>Feb</v>
      </c>
      <c r="E58" s="10" t="str">
        <f aca="false">"Q"&amp;ROUNDUP(C58/3,0)</f>
        <v>Q1</v>
      </c>
      <c r="F58" s="10" t="str">
        <f aca="false">TEXT(A58,"ddd")</f>
        <v>Mon</v>
      </c>
      <c r="G58" s="10" t="str">
        <f aca="false">IF(WEEKDAY(A58,2)&gt;5,"Yes","No")</f>
        <v>No</v>
      </c>
      <c r="H58" s="10"/>
    </row>
    <row r="59" customFormat="false" ht="15" hidden="false" customHeight="true" outlineLevel="0" collapsed="false">
      <c r="A59" s="11" t="n">
        <v>45349</v>
      </c>
      <c r="B59" s="10" t="n">
        <f aca="false">YEAR(A59)</f>
        <v>2024</v>
      </c>
      <c r="C59" s="10" t="n">
        <f aca="false">MONTH(A59)</f>
        <v>2</v>
      </c>
      <c r="D59" s="10" t="str">
        <f aca="false">TEXT(A59,"mmm")</f>
        <v>Feb</v>
      </c>
      <c r="E59" s="10" t="str">
        <f aca="false">"Q"&amp;ROUNDUP(C59/3,0)</f>
        <v>Q1</v>
      </c>
      <c r="F59" s="10" t="str">
        <f aca="false">TEXT(A59,"ddd")</f>
        <v>Tue</v>
      </c>
      <c r="G59" s="10" t="str">
        <f aca="false">IF(WEEKDAY(A59,2)&gt;5,"Yes","No")</f>
        <v>No</v>
      </c>
      <c r="H59" s="10"/>
    </row>
    <row r="60" customFormat="false" ht="15" hidden="false" customHeight="true" outlineLevel="0" collapsed="false">
      <c r="A60" s="11" t="n">
        <v>45350</v>
      </c>
      <c r="B60" s="10" t="n">
        <f aca="false">YEAR(A60)</f>
        <v>2024</v>
      </c>
      <c r="C60" s="10" t="n">
        <f aca="false">MONTH(A60)</f>
        <v>2</v>
      </c>
      <c r="D60" s="10" t="str">
        <f aca="false">TEXT(A60,"mmm")</f>
        <v>Feb</v>
      </c>
      <c r="E60" s="10" t="str">
        <f aca="false">"Q"&amp;ROUNDUP(C60/3,0)</f>
        <v>Q1</v>
      </c>
      <c r="F60" s="10" t="str">
        <f aca="false">TEXT(A60,"ddd")</f>
        <v>Wed</v>
      </c>
      <c r="G60" s="10" t="str">
        <f aca="false">IF(WEEKDAY(A60,2)&gt;5,"Yes","No")</f>
        <v>No</v>
      </c>
      <c r="H60" s="10"/>
    </row>
    <row r="61" customFormat="false" ht="15" hidden="false" customHeight="true" outlineLevel="0" collapsed="false">
      <c r="A61" s="11" t="n">
        <v>45351</v>
      </c>
      <c r="B61" s="10" t="n">
        <f aca="false">YEAR(A61)</f>
        <v>2024</v>
      </c>
      <c r="C61" s="10" t="n">
        <f aca="false">MONTH(A61)</f>
        <v>2</v>
      </c>
      <c r="D61" s="10" t="str">
        <f aca="false">TEXT(A61,"mmm")</f>
        <v>Feb</v>
      </c>
      <c r="E61" s="10" t="str">
        <f aca="false">"Q"&amp;ROUNDUP(C61/3,0)</f>
        <v>Q1</v>
      </c>
      <c r="F61" s="10" t="str">
        <f aca="false">TEXT(A61,"ddd")</f>
        <v>Thu</v>
      </c>
      <c r="G61" s="10" t="str">
        <f aca="false">IF(WEEKDAY(A61,2)&gt;5,"Yes","No")</f>
        <v>No</v>
      </c>
      <c r="H61" s="10"/>
    </row>
    <row r="62" customFormat="false" ht="15" hidden="false" customHeight="true" outlineLevel="0" collapsed="false">
      <c r="A62" s="11" t="n">
        <v>45352</v>
      </c>
      <c r="B62" s="10" t="n">
        <f aca="false">YEAR(A62)</f>
        <v>2024</v>
      </c>
      <c r="C62" s="10" t="n">
        <f aca="false">MONTH(A62)</f>
        <v>3</v>
      </c>
      <c r="D62" s="10" t="str">
        <f aca="false">TEXT(A62,"mmm")</f>
        <v>Mar</v>
      </c>
      <c r="E62" s="10" t="str">
        <f aca="false">"Q"&amp;ROUNDUP(C62/3,0)</f>
        <v>Q1</v>
      </c>
      <c r="F62" s="10" t="str">
        <f aca="false">TEXT(A62,"ddd")</f>
        <v>Fri</v>
      </c>
      <c r="G62" s="10" t="str">
        <f aca="false">IF(WEEKDAY(A62,2)&gt;5,"Yes","No")</f>
        <v>No</v>
      </c>
      <c r="H62" s="10"/>
    </row>
    <row r="63" customFormat="false" ht="15" hidden="false" customHeight="true" outlineLevel="0" collapsed="false">
      <c r="A63" s="11" t="n">
        <v>45353</v>
      </c>
      <c r="B63" s="10" t="n">
        <f aca="false">YEAR(A63)</f>
        <v>2024</v>
      </c>
      <c r="C63" s="10" t="n">
        <f aca="false">MONTH(A63)</f>
        <v>3</v>
      </c>
      <c r="D63" s="10" t="str">
        <f aca="false">TEXT(A63,"mmm")</f>
        <v>Mar</v>
      </c>
      <c r="E63" s="10" t="str">
        <f aca="false">"Q"&amp;ROUNDUP(C63/3,0)</f>
        <v>Q1</v>
      </c>
      <c r="F63" s="10" t="str">
        <f aca="false">TEXT(A63,"ddd")</f>
        <v>Sat</v>
      </c>
      <c r="G63" s="10" t="str">
        <f aca="false">IF(WEEKDAY(A63,2)&gt;5,"Yes","No")</f>
        <v>Yes</v>
      </c>
      <c r="H63" s="10"/>
    </row>
    <row r="64" customFormat="false" ht="15" hidden="false" customHeight="true" outlineLevel="0" collapsed="false">
      <c r="A64" s="11" t="n">
        <v>45354</v>
      </c>
      <c r="B64" s="10" t="n">
        <f aca="false">YEAR(A64)</f>
        <v>2024</v>
      </c>
      <c r="C64" s="10" t="n">
        <f aca="false">MONTH(A64)</f>
        <v>3</v>
      </c>
      <c r="D64" s="10" t="str">
        <f aca="false">TEXT(A64,"mmm")</f>
        <v>Mar</v>
      </c>
      <c r="E64" s="10" t="str">
        <f aca="false">"Q"&amp;ROUNDUP(C64/3,0)</f>
        <v>Q1</v>
      </c>
      <c r="F64" s="10" t="str">
        <f aca="false">TEXT(A64,"ddd")</f>
        <v>Sun</v>
      </c>
      <c r="G64" s="10" t="str">
        <f aca="false">IF(WEEKDAY(A64,2)&gt;5,"Yes","No")</f>
        <v>Yes</v>
      </c>
      <c r="H64" s="10"/>
    </row>
    <row r="65" customFormat="false" ht="15" hidden="false" customHeight="true" outlineLevel="0" collapsed="false">
      <c r="A65" s="11" t="n">
        <v>45355</v>
      </c>
      <c r="B65" s="10" t="n">
        <f aca="false">YEAR(A65)</f>
        <v>2024</v>
      </c>
      <c r="C65" s="10" t="n">
        <f aca="false">MONTH(A65)</f>
        <v>3</v>
      </c>
      <c r="D65" s="10" t="str">
        <f aca="false">TEXT(A65,"mmm")</f>
        <v>Mar</v>
      </c>
      <c r="E65" s="10" t="str">
        <f aca="false">"Q"&amp;ROUNDUP(C65/3,0)</f>
        <v>Q1</v>
      </c>
      <c r="F65" s="10" t="str">
        <f aca="false">TEXT(A65,"ddd")</f>
        <v>Mon</v>
      </c>
      <c r="G65" s="10" t="str">
        <f aca="false">IF(WEEKDAY(A65,2)&gt;5,"Yes","No")</f>
        <v>No</v>
      </c>
      <c r="H65" s="10"/>
    </row>
    <row r="66" customFormat="false" ht="15" hidden="false" customHeight="true" outlineLevel="0" collapsed="false">
      <c r="A66" s="11" t="n">
        <v>45356</v>
      </c>
      <c r="B66" s="10" t="n">
        <f aca="false">YEAR(A66)</f>
        <v>2024</v>
      </c>
      <c r="C66" s="10" t="n">
        <f aca="false">MONTH(A66)</f>
        <v>3</v>
      </c>
      <c r="D66" s="10" t="str">
        <f aca="false">TEXT(A66,"mmm")</f>
        <v>Mar</v>
      </c>
      <c r="E66" s="10" t="str">
        <f aca="false">"Q"&amp;ROUNDUP(C66/3,0)</f>
        <v>Q1</v>
      </c>
      <c r="F66" s="10" t="str">
        <f aca="false">TEXT(A66,"ddd")</f>
        <v>Tue</v>
      </c>
      <c r="G66" s="10" t="str">
        <f aca="false">IF(WEEKDAY(A66,2)&gt;5,"Yes","No")</f>
        <v>No</v>
      </c>
      <c r="H66" s="10"/>
    </row>
    <row r="67" customFormat="false" ht="15" hidden="false" customHeight="true" outlineLevel="0" collapsed="false">
      <c r="A67" s="11" t="n">
        <v>45357</v>
      </c>
      <c r="B67" s="10" t="n">
        <f aca="false">YEAR(A67)</f>
        <v>2024</v>
      </c>
      <c r="C67" s="10" t="n">
        <f aca="false">MONTH(A67)</f>
        <v>3</v>
      </c>
      <c r="D67" s="10" t="str">
        <f aca="false">TEXT(A67,"mmm")</f>
        <v>Mar</v>
      </c>
      <c r="E67" s="10" t="str">
        <f aca="false">"Q"&amp;ROUNDUP(C67/3,0)</f>
        <v>Q1</v>
      </c>
      <c r="F67" s="10" t="str">
        <f aca="false">TEXT(A67,"ddd")</f>
        <v>Wed</v>
      </c>
      <c r="G67" s="10" t="str">
        <f aca="false">IF(WEEKDAY(A67,2)&gt;5,"Yes","No")</f>
        <v>No</v>
      </c>
      <c r="H67" s="10"/>
    </row>
    <row r="68" customFormat="false" ht="15" hidden="false" customHeight="true" outlineLevel="0" collapsed="false">
      <c r="A68" s="11" t="n">
        <v>45358</v>
      </c>
      <c r="B68" s="10" t="n">
        <f aca="false">YEAR(A68)</f>
        <v>2024</v>
      </c>
      <c r="C68" s="10" t="n">
        <f aca="false">MONTH(A68)</f>
        <v>3</v>
      </c>
      <c r="D68" s="10" t="str">
        <f aca="false">TEXT(A68,"mmm")</f>
        <v>Mar</v>
      </c>
      <c r="E68" s="10" t="str">
        <f aca="false">"Q"&amp;ROUNDUP(C68/3,0)</f>
        <v>Q1</v>
      </c>
      <c r="F68" s="10" t="str">
        <f aca="false">TEXT(A68,"ddd")</f>
        <v>Thu</v>
      </c>
      <c r="G68" s="10" t="str">
        <f aca="false">IF(WEEKDAY(A68,2)&gt;5,"Yes","No")</f>
        <v>No</v>
      </c>
      <c r="H68" s="10"/>
    </row>
    <row r="69" customFormat="false" ht="15" hidden="false" customHeight="true" outlineLevel="0" collapsed="false">
      <c r="A69" s="11" t="n">
        <v>45359</v>
      </c>
      <c r="B69" s="10" t="n">
        <f aca="false">YEAR(A69)</f>
        <v>2024</v>
      </c>
      <c r="C69" s="10" t="n">
        <f aca="false">MONTH(A69)</f>
        <v>3</v>
      </c>
      <c r="D69" s="10" t="str">
        <f aca="false">TEXT(A69,"mmm")</f>
        <v>Mar</v>
      </c>
      <c r="E69" s="10" t="str">
        <f aca="false">"Q"&amp;ROUNDUP(C69/3,0)</f>
        <v>Q1</v>
      </c>
      <c r="F69" s="10" t="str">
        <f aca="false">TEXT(A69,"ddd")</f>
        <v>Fri</v>
      </c>
      <c r="G69" s="10" t="str">
        <f aca="false">IF(WEEKDAY(A69,2)&gt;5,"Yes","No")</f>
        <v>No</v>
      </c>
      <c r="H69" s="10"/>
    </row>
    <row r="70" customFormat="false" ht="15" hidden="false" customHeight="true" outlineLevel="0" collapsed="false">
      <c r="A70" s="11" t="n">
        <v>45360</v>
      </c>
      <c r="B70" s="10" t="n">
        <f aca="false">YEAR(A70)</f>
        <v>2024</v>
      </c>
      <c r="C70" s="10" t="n">
        <f aca="false">MONTH(A70)</f>
        <v>3</v>
      </c>
      <c r="D70" s="10" t="str">
        <f aca="false">TEXT(A70,"mmm")</f>
        <v>Mar</v>
      </c>
      <c r="E70" s="10" t="str">
        <f aca="false">"Q"&amp;ROUNDUP(C70/3,0)</f>
        <v>Q1</v>
      </c>
      <c r="F70" s="10" t="str">
        <f aca="false">TEXT(A70,"ddd")</f>
        <v>Sat</v>
      </c>
      <c r="G70" s="10" t="str">
        <f aca="false">IF(WEEKDAY(A70,2)&gt;5,"Yes","No")</f>
        <v>Yes</v>
      </c>
      <c r="H70" s="10"/>
    </row>
    <row r="71" customFormat="false" ht="15" hidden="false" customHeight="true" outlineLevel="0" collapsed="false">
      <c r="A71" s="11" t="n">
        <v>45361</v>
      </c>
      <c r="B71" s="10" t="n">
        <f aca="false">YEAR(A71)</f>
        <v>2024</v>
      </c>
      <c r="C71" s="10" t="n">
        <f aca="false">MONTH(A71)</f>
        <v>3</v>
      </c>
      <c r="D71" s="10" t="str">
        <f aca="false">TEXT(A71,"mmm")</f>
        <v>Mar</v>
      </c>
      <c r="E71" s="10" t="str">
        <f aca="false">"Q"&amp;ROUNDUP(C71/3,0)</f>
        <v>Q1</v>
      </c>
      <c r="F71" s="10" t="str">
        <f aca="false">TEXT(A71,"ddd")</f>
        <v>Sun</v>
      </c>
      <c r="G71" s="10" t="str">
        <f aca="false">IF(WEEKDAY(A71,2)&gt;5,"Yes","No")</f>
        <v>Yes</v>
      </c>
      <c r="H71" s="10"/>
    </row>
    <row r="72" customFormat="false" ht="15" hidden="false" customHeight="true" outlineLevel="0" collapsed="false">
      <c r="A72" s="11" t="n">
        <v>45362</v>
      </c>
      <c r="B72" s="10" t="n">
        <f aca="false">YEAR(A72)</f>
        <v>2024</v>
      </c>
      <c r="C72" s="10" t="n">
        <f aca="false">MONTH(A72)</f>
        <v>3</v>
      </c>
      <c r="D72" s="10" t="str">
        <f aca="false">TEXT(A72,"mmm")</f>
        <v>Mar</v>
      </c>
      <c r="E72" s="10" t="str">
        <f aca="false">"Q"&amp;ROUNDUP(C72/3,0)</f>
        <v>Q1</v>
      </c>
      <c r="F72" s="10" t="str">
        <f aca="false">TEXT(A72,"ddd")</f>
        <v>Mon</v>
      </c>
      <c r="G72" s="10" t="str">
        <f aca="false">IF(WEEKDAY(A72,2)&gt;5,"Yes","No")</f>
        <v>No</v>
      </c>
      <c r="H72" s="10"/>
    </row>
    <row r="73" customFormat="false" ht="15" hidden="false" customHeight="true" outlineLevel="0" collapsed="false">
      <c r="A73" s="11" t="n">
        <v>45363</v>
      </c>
      <c r="B73" s="10" t="n">
        <f aca="false">YEAR(A73)</f>
        <v>2024</v>
      </c>
      <c r="C73" s="10" t="n">
        <f aca="false">MONTH(A73)</f>
        <v>3</v>
      </c>
      <c r="D73" s="10" t="str">
        <f aca="false">TEXT(A73,"mmm")</f>
        <v>Mar</v>
      </c>
      <c r="E73" s="10" t="str">
        <f aca="false">"Q"&amp;ROUNDUP(C73/3,0)</f>
        <v>Q1</v>
      </c>
      <c r="F73" s="10" t="str">
        <f aca="false">TEXT(A73,"ddd")</f>
        <v>Tue</v>
      </c>
      <c r="G73" s="10" t="str">
        <f aca="false">IF(WEEKDAY(A73,2)&gt;5,"Yes","No")</f>
        <v>No</v>
      </c>
      <c r="H73" s="10"/>
    </row>
    <row r="74" customFormat="false" ht="15" hidden="false" customHeight="true" outlineLevel="0" collapsed="false">
      <c r="A74" s="11" t="n">
        <v>45364</v>
      </c>
      <c r="B74" s="10" t="n">
        <f aca="false">YEAR(A74)</f>
        <v>2024</v>
      </c>
      <c r="C74" s="10" t="n">
        <f aca="false">MONTH(A74)</f>
        <v>3</v>
      </c>
      <c r="D74" s="10" t="str">
        <f aca="false">TEXT(A74,"mmm")</f>
        <v>Mar</v>
      </c>
      <c r="E74" s="10" t="str">
        <f aca="false">"Q"&amp;ROUNDUP(C74/3,0)</f>
        <v>Q1</v>
      </c>
      <c r="F74" s="10" t="str">
        <f aca="false">TEXT(A74,"ddd")</f>
        <v>Wed</v>
      </c>
      <c r="G74" s="10" t="str">
        <f aca="false">IF(WEEKDAY(A74,2)&gt;5,"Yes","No")</f>
        <v>No</v>
      </c>
      <c r="H74" s="10"/>
    </row>
    <row r="75" customFormat="false" ht="15" hidden="false" customHeight="true" outlineLevel="0" collapsed="false">
      <c r="A75" s="11" t="n">
        <v>45365</v>
      </c>
      <c r="B75" s="10" t="n">
        <f aca="false">YEAR(A75)</f>
        <v>2024</v>
      </c>
      <c r="C75" s="10" t="n">
        <f aca="false">MONTH(A75)</f>
        <v>3</v>
      </c>
      <c r="D75" s="10" t="str">
        <f aca="false">TEXT(A75,"mmm")</f>
        <v>Mar</v>
      </c>
      <c r="E75" s="10" t="str">
        <f aca="false">"Q"&amp;ROUNDUP(C75/3,0)</f>
        <v>Q1</v>
      </c>
      <c r="F75" s="10" t="str">
        <f aca="false">TEXT(A75,"ddd")</f>
        <v>Thu</v>
      </c>
      <c r="G75" s="10" t="str">
        <f aca="false">IF(WEEKDAY(A75,2)&gt;5,"Yes","No")</f>
        <v>No</v>
      </c>
      <c r="H75" s="10"/>
    </row>
    <row r="76" customFormat="false" ht="15" hidden="false" customHeight="true" outlineLevel="0" collapsed="false">
      <c r="A76" s="11" t="n">
        <v>45366</v>
      </c>
      <c r="B76" s="10" t="n">
        <f aca="false">YEAR(A76)</f>
        <v>2024</v>
      </c>
      <c r="C76" s="10" t="n">
        <f aca="false">MONTH(A76)</f>
        <v>3</v>
      </c>
      <c r="D76" s="10" t="str">
        <f aca="false">TEXT(A76,"mmm")</f>
        <v>Mar</v>
      </c>
      <c r="E76" s="10" t="str">
        <f aca="false">"Q"&amp;ROUNDUP(C76/3,0)</f>
        <v>Q1</v>
      </c>
      <c r="F76" s="10" t="str">
        <f aca="false">TEXT(A76,"ddd")</f>
        <v>Fri</v>
      </c>
      <c r="G76" s="10" t="str">
        <f aca="false">IF(WEEKDAY(A76,2)&gt;5,"Yes","No")</f>
        <v>No</v>
      </c>
      <c r="H76" s="10"/>
    </row>
    <row r="77" customFormat="false" ht="15" hidden="false" customHeight="true" outlineLevel="0" collapsed="false">
      <c r="A77" s="11" t="n">
        <v>45367</v>
      </c>
      <c r="B77" s="10" t="n">
        <f aca="false">YEAR(A77)</f>
        <v>2024</v>
      </c>
      <c r="C77" s="10" t="n">
        <f aca="false">MONTH(A77)</f>
        <v>3</v>
      </c>
      <c r="D77" s="10" t="str">
        <f aca="false">TEXT(A77,"mmm")</f>
        <v>Mar</v>
      </c>
      <c r="E77" s="10" t="str">
        <f aca="false">"Q"&amp;ROUNDUP(C77/3,0)</f>
        <v>Q1</v>
      </c>
      <c r="F77" s="10" t="str">
        <f aca="false">TEXT(A77,"ddd")</f>
        <v>Sat</v>
      </c>
      <c r="G77" s="10" t="str">
        <f aca="false">IF(WEEKDAY(A77,2)&gt;5,"Yes","No")</f>
        <v>Yes</v>
      </c>
      <c r="H77" s="10"/>
    </row>
    <row r="78" customFormat="false" ht="15" hidden="false" customHeight="true" outlineLevel="0" collapsed="false">
      <c r="A78" s="11" t="n">
        <v>45368</v>
      </c>
      <c r="B78" s="10" t="n">
        <f aca="false">YEAR(A78)</f>
        <v>2024</v>
      </c>
      <c r="C78" s="10" t="n">
        <f aca="false">MONTH(A78)</f>
        <v>3</v>
      </c>
      <c r="D78" s="10" t="str">
        <f aca="false">TEXT(A78,"mmm")</f>
        <v>Mar</v>
      </c>
      <c r="E78" s="10" t="str">
        <f aca="false">"Q"&amp;ROUNDUP(C78/3,0)</f>
        <v>Q1</v>
      </c>
      <c r="F78" s="10" t="str">
        <f aca="false">TEXT(A78,"ddd")</f>
        <v>Sun</v>
      </c>
      <c r="G78" s="10" t="str">
        <f aca="false">IF(WEEKDAY(A78,2)&gt;5,"Yes","No")</f>
        <v>Yes</v>
      </c>
      <c r="H78" s="10"/>
    </row>
    <row r="79" customFormat="false" ht="15" hidden="false" customHeight="true" outlineLevel="0" collapsed="false">
      <c r="A79" s="11" t="n">
        <v>45369</v>
      </c>
      <c r="B79" s="10" t="n">
        <f aca="false">YEAR(A79)</f>
        <v>2024</v>
      </c>
      <c r="C79" s="10" t="n">
        <f aca="false">MONTH(A79)</f>
        <v>3</v>
      </c>
      <c r="D79" s="10" t="str">
        <f aca="false">TEXT(A79,"mmm")</f>
        <v>Mar</v>
      </c>
      <c r="E79" s="10" t="str">
        <f aca="false">"Q"&amp;ROUNDUP(C79/3,0)</f>
        <v>Q1</v>
      </c>
      <c r="F79" s="10" t="str">
        <f aca="false">TEXT(A79,"ddd")</f>
        <v>Mon</v>
      </c>
      <c r="G79" s="10" t="str">
        <f aca="false">IF(WEEKDAY(A79,2)&gt;5,"Yes","No")</f>
        <v>No</v>
      </c>
      <c r="H79" s="10"/>
    </row>
    <row r="80" customFormat="false" ht="15" hidden="false" customHeight="true" outlineLevel="0" collapsed="false">
      <c r="A80" s="11" t="n">
        <v>45370</v>
      </c>
      <c r="B80" s="10" t="n">
        <f aca="false">YEAR(A80)</f>
        <v>2024</v>
      </c>
      <c r="C80" s="10" t="n">
        <f aca="false">MONTH(A80)</f>
        <v>3</v>
      </c>
      <c r="D80" s="10" t="str">
        <f aca="false">TEXT(A80,"mmm")</f>
        <v>Mar</v>
      </c>
      <c r="E80" s="10" t="str">
        <f aca="false">"Q"&amp;ROUNDUP(C80/3,0)</f>
        <v>Q1</v>
      </c>
      <c r="F80" s="10" t="str">
        <f aca="false">TEXT(A80,"ddd")</f>
        <v>Tue</v>
      </c>
      <c r="G80" s="10" t="str">
        <f aca="false">IF(WEEKDAY(A80,2)&gt;5,"Yes","No")</f>
        <v>No</v>
      </c>
      <c r="H80" s="10"/>
    </row>
    <row r="81" customFormat="false" ht="15" hidden="false" customHeight="true" outlineLevel="0" collapsed="false">
      <c r="A81" s="11" t="n">
        <v>45371</v>
      </c>
      <c r="B81" s="10" t="n">
        <f aca="false">YEAR(A81)</f>
        <v>2024</v>
      </c>
      <c r="C81" s="10" t="n">
        <f aca="false">MONTH(A81)</f>
        <v>3</v>
      </c>
      <c r="D81" s="10" t="str">
        <f aca="false">TEXT(A81,"mmm")</f>
        <v>Mar</v>
      </c>
      <c r="E81" s="10" t="str">
        <f aca="false">"Q"&amp;ROUNDUP(C81/3,0)</f>
        <v>Q1</v>
      </c>
      <c r="F81" s="10" t="str">
        <f aca="false">TEXT(A81,"ddd")</f>
        <v>Wed</v>
      </c>
      <c r="G81" s="10" t="str">
        <f aca="false">IF(WEEKDAY(A81,2)&gt;5,"Yes","No")</f>
        <v>No</v>
      </c>
      <c r="H81" s="10"/>
    </row>
    <row r="82" customFormat="false" ht="15" hidden="false" customHeight="true" outlineLevel="0" collapsed="false">
      <c r="A82" s="11" t="n">
        <v>45372</v>
      </c>
      <c r="B82" s="10" t="n">
        <f aca="false">YEAR(A82)</f>
        <v>2024</v>
      </c>
      <c r="C82" s="10" t="n">
        <f aca="false">MONTH(A82)</f>
        <v>3</v>
      </c>
      <c r="D82" s="10" t="str">
        <f aca="false">TEXT(A82,"mmm")</f>
        <v>Mar</v>
      </c>
      <c r="E82" s="10" t="str">
        <f aca="false">"Q"&amp;ROUNDUP(C82/3,0)</f>
        <v>Q1</v>
      </c>
      <c r="F82" s="10" t="str">
        <f aca="false">TEXT(A82,"ddd")</f>
        <v>Thu</v>
      </c>
      <c r="G82" s="10" t="str">
        <f aca="false">IF(WEEKDAY(A82,2)&gt;5,"Yes","No")</f>
        <v>No</v>
      </c>
      <c r="H82" s="10" t="s">
        <v>992</v>
      </c>
    </row>
    <row r="83" customFormat="false" ht="15" hidden="false" customHeight="true" outlineLevel="0" collapsed="false">
      <c r="A83" s="11" t="n">
        <v>45373</v>
      </c>
      <c r="B83" s="10" t="n">
        <f aca="false">YEAR(A83)</f>
        <v>2024</v>
      </c>
      <c r="C83" s="10" t="n">
        <f aca="false">MONTH(A83)</f>
        <v>3</v>
      </c>
      <c r="D83" s="10" t="str">
        <f aca="false">TEXT(A83,"mmm")</f>
        <v>Mar</v>
      </c>
      <c r="E83" s="10" t="str">
        <f aca="false">"Q"&amp;ROUNDUP(C83/3,0)</f>
        <v>Q1</v>
      </c>
      <c r="F83" s="10" t="str">
        <f aca="false">TEXT(A83,"ddd")</f>
        <v>Fri</v>
      </c>
      <c r="G83" s="10" t="str">
        <f aca="false">IF(WEEKDAY(A83,2)&gt;5,"Yes","No")</f>
        <v>No</v>
      </c>
      <c r="H83" s="10"/>
    </row>
    <row r="84" customFormat="false" ht="15" hidden="false" customHeight="true" outlineLevel="0" collapsed="false">
      <c r="A84" s="11" t="n">
        <v>45374</v>
      </c>
      <c r="B84" s="10" t="n">
        <f aca="false">YEAR(A84)</f>
        <v>2024</v>
      </c>
      <c r="C84" s="10" t="n">
        <f aca="false">MONTH(A84)</f>
        <v>3</v>
      </c>
      <c r="D84" s="10" t="str">
        <f aca="false">TEXT(A84,"mmm")</f>
        <v>Mar</v>
      </c>
      <c r="E84" s="10" t="str">
        <f aca="false">"Q"&amp;ROUNDUP(C84/3,0)</f>
        <v>Q1</v>
      </c>
      <c r="F84" s="10" t="str">
        <f aca="false">TEXT(A84,"ddd")</f>
        <v>Sat</v>
      </c>
      <c r="G84" s="10" t="str">
        <f aca="false">IF(WEEKDAY(A84,2)&gt;5,"Yes","No")</f>
        <v>Yes</v>
      </c>
      <c r="H84" s="10"/>
    </row>
    <row r="85" customFormat="false" ht="15" hidden="false" customHeight="true" outlineLevel="0" collapsed="false">
      <c r="A85" s="11" t="n">
        <v>45375</v>
      </c>
      <c r="B85" s="10" t="n">
        <f aca="false">YEAR(A85)</f>
        <v>2024</v>
      </c>
      <c r="C85" s="10" t="n">
        <f aca="false">MONTH(A85)</f>
        <v>3</v>
      </c>
      <c r="D85" s="10" t="str">
        <f aca="false">TEXT(A85,"mmm")</f>
        <v>Mar</v>
      </c>
      <c r="E85" s="10" t="str">
        <f aca="false">"Q"&amp;ROUNDUP(C85/3,0)</f>
        <v>Q1</v>
      </c>
      <c r="F85" s="10" t="str">
        <f aca="false">TEXT(A85,"ddd")</f>
        <v>Sun</v>
      </c>
      <c r="G85" s="10" t="str">
        <f aca="false">IF(WEEKDAY(A85,2)&gt;5,"Yes","No")</f>
        <v>Yes</v>
      </c>
      <c r="H85" s="10"/>
    </row>
    <row r="86" customFormat="false" ht="15" hidden="false" customHeight="true" outlineLevel="0" collapsed="false">
      <c r="A86" s="11" t="n">
        <v>45376</v>
      </c>
      <c r="B86" s="10" t="n">
        <f aca="false">YEAR(A86)</f>
        <v>2024</v>
      </c>
      <c r="C86" s="10" t="n">
        <f aca="false">MONTH(A86)</f>
        <v>3</v>
      </c>
      <c r="D86" s="10" t="str">
        <f aca="false">TEXT(A86,"mmm")</f>
        <v>Mar</v>
      </c>
      <c r="E86" s="10" t="str">
        <f aca="false">"Q"&amp;ROUNDUP(C86/3,0)</f>
        <v>Q1</v>
      </c>
      <c r="F86" s="10" t="str">
        <f aca="false">TEXT(A86,"ddd")</f>
        <v>Mon</v>
      </c>
      <c r="G86" s="10" t="str">
        <f aca="false">IF(WEEKDAY(A86,2)&gt;5,"Yes","No")</f>
        <v>No</v>
      </c>
      <c r="H86" s="10"/>
    </row>
    <row r="87" customFormat="false" ht="15" hidden="false" customHeight="true" outlineLevel="0" collapsed="false">
      <c r="A87" s="11" t="n">
        <v>45377</v>
      </c>
      <c r="B87" s="10" t="n">
        <f aca="false">YEAR(A87)</f>
        <v>2024</v>
      </c>
      <c r="C87" s="10" t="n">
        <f aca="false">MONTH(A87)</f>
        <v>3</v>
      </c>
      <c r="D87" s="10" t="str">
        <f aca="false">TEXT(A87,"mmm")</f>
        <v>Mar</v>
      </c>
      <c r="E87" s="10" t="str">
        <f aca="false">"Q"&amp;ROUNDUP(C87/3,0)</f>
        <v>Q1</v>
      </c>
      <c r="F87" s="10" t="str">
        <f aca="false">TEXT(A87,"ddd")</f>
        <v>Tue</v>
      </c>
      <c r="G87" s="10" t="str">
        <f aca="false">IF(WEEKDAY(A87,2)&gt;5,"Yes","No")</f>
        <v>No</v>
      </c>
      <c r="H87" s="10"/>
    </row>
    <row r="88" customFormat="false" ht="15" hidden="false" customHeight="true" outlineLevel="0" collapsed="false">
      <c r="A88" s="11" t="n">
        <v>45378</v>
      </c>
      <c r="B88" s="10" t="n">
        <f aca="false">YEAR(A88)</f>
        <v>2024</v>
      </c>
      <c r="C88" s="10" t="n">
        <f aca="false">MONTH(A88)</f>
        <v>3</v>
      </c>
      <c r="D88" s="10" t="str">
        <f aca="false">TEXT(A88,"mmm")</f>
        <v>Mar</v>
      </c>
      <c r="E88" s="10" t="str">
        <f aca="false">"Q"&amp;ROUNDUP(C88/3,0)</f>
        <v>Q1</v>
      </c>
      <c r="F88" s="10" t="str">
        <f aca="false">TEXT(A88,"ddd")</f>
        <v>Wed</v>
      </c>
      <c r="G88" s="10" t="str">
        <f aca="false">IF(WEEKDAY(A88,2)&gt;5,"Yes","No")</f>
        <v>No</v>
      </c>
      <c r="H88" s="10"/>
    </row>
    <row r="89" customFormat="false" ht="15" hidden="false" customHeight="true" outlineLevel="0" collapsed="false">
      <c r="A89" s="11" t="n">
        <v>45379</v>
      </c>
      <c r="B89" s="10" t="n">
        <f aca="false">YEAR(A89)</f>
        <v>2024</v>
      </c>
      <c r="C89" s="10" t="n">
        <f aca="false">MONTH(A89)</f>
        <v>3</v>
      </c>
      <c r="D89" s="10" t="str">
        <f aca="false">TEXT(A89,"mmm")</f>
        <v>Mar</v>
      </c>
      <c r="E89" s="10" t="str">
        <f aca="false">"Q"&amp;ROUNDUP(C89/3,0)</f>
        <v>Q1</v>
      </c>
      <c r="F89" s="10" t="str">
        <f aca="false">TEXT(A89,"ddd")</f>
        <v>Thu</v>
      </c>
      <c r="G89" s="10" t="str">
        <f aca="false">IF(WEEKDAY(A89,2)&gt;5,"Yes","No")</f>
        <v>No</v>
      </c>
      <c r="H89" s="10"/>
    </row>
    <row r="90" customFormat="false" ht="15" hidden="false" customHeight="true" outlineLevel="0" collapsed="false">
      <c r="A90" s="11" t="n">
        <v>45380</v>
      </c>
      <c r="B90" s="10" t="n">
        <f aca="false">YEAR(A90)</f>
        <v>2024</v>
      </c>
      <c r="C90" s="10" t="n">
        <f aca="false">MONTH(A90)</f>
        <v>3</v>
      </c>
      <c r="D90" s="10" t="str">
        <f aca="false">TEXT(A90,"mmm")</f>
        <v>Mar</v>
      </c>
      <c r="E90" s="10" t="str">
        <f aca="false">"Q"&amp;ROUNDUP(C90/3,0)</f>
        <v>Q1</v>
      </c>
      <c r="F90" s="10" t="str">
        <f aca="false">TEXT(A90,"ddd")</f>
        <v>Fri</v>
      </c>
      <c r="G90" s="10" t="str">
        <f aca="false">IF(WEEKDAY(A90,2)&gt;5,"Yes","No")</f>
        <v>No</v>
      </c>
      <c r="H90" s="10" t="s">
        <v>993</v>
      </c>
    </row>
    <row r="91" customFormat="false" ht="15" hidden="false" customHeight="true" outlineLevel="0" collapsed="false">
      <c r="A91" s="11" t="n">
        <v>45381</v>
      </c>
      <c r="B91" s="10" t="n">
        <f aca="false">YEAR(A91)</f>
        <v>2024</v>
      </c>
      <c r="C91" s="10" t="n">
        <f aca="false">MONTH(A91)</f>
        <v>3</v>
      </c>
      <c r="D91" s="10" t="str">
        <f aca="false">TEXT(A91,"mmm")</f>
        <v>Mar</v>
      </c>
      <c r="E91" s="10" t="str">
        <f aca="false">"Q"&amp;ROUNDUP(C91/3,0)</f>
        <v>Q1</v>
      </c>
      <c r="F91" s="10" t="str">
        <f aca="false">TEXT(A91,"ddd")</f>
        <v>Sat</v>
      </c>
      <c r="G91" s="10" t="str">
        <f aca="false">IF(WEEKDAY(A91,2)&gt;5,"Yes","No")</f>
        <v>Yes</v>
      </c>
      <c r="H91" s="10"/>
    </row>
    <row r="92" customFormat="false" ht="15" hidden="false" customHeight="true" outlineLevel="0" collapsed="false">
      <c r="A92" s="11" t="n">
        <v>45382</v>
      </c>
      <c r="B92" s="10" t="n">
        <f aca="false">YEAR(A92)</f>
        <v>2024</v>
      </c>
      <c r="C92" s="10" t="n">
        <f aca="false">MONTH(A92)</f>
        <v>3</v>
      </c>
      <c r="D92" s="10" t="str">
        <f aca="false">TEXT(A92,"mmm")</f>
        <v>Mar</v>
      </c>
      <c r="E92" s="10" t="str">
        <f aca="false">"Q"&amp;ROUNDUP(C92/3,0)</f>
        <v>Q1</v>
      </c>
      <c r="F92" s="10" t="str">
        <f aca="false">TEXT(A92,"ddd")</f>
        <v>Sun</v>
      </c>
      <c r="G92" s="10" t="str">
        <f aca="false">IF(WEEKDAY(A92,2)&gt;5,"Yes","No")</f>
        <v>Yes</v>
      </c>
      <c r="H92" s="10"/>
    </row>
    <row r="93" customFormat="false" ht="15" hidden="false" customHeight="true" outlineLevel="0" collapsed="false">
      <c r="A93" s="11" t="n">
        <v>45383</v>
      </c>
      <c r="B93" s="10" t="n">
        <f aca="false">YEAR(A93)</f>
        <v>2024</v>
      </c>
      <c r="C93" s="10" t="n">
        <f aca="false">MONTH(A93)</f>
        <v>4</v>
      </c>
      <c r="D93" s="10" t="str">
        <f aca="false">TEXT(A93,"mmm")</f>
        <v>Apr</v>
      </c>
      <c r="E93" s="10" t="str">
        <f aca="false">"Q"&amp;ROUNDUP(C93/3,0)</f>
        <v>Q2</v>
      </c>
      <c r="F93" s="10" t="str">
        <f aca="false">TEXT(A93,"ddd")</f>
        <v>Mon</v>
      </c>
      <c r="G93" s="10" t="str">
        <f aca="false">IF(WEEKDAY(A93,2)&gt;5,"Yes","No")</f>
        <v>No</v>
      </c>
      <c r="H93" s="10" t="s">
        <v>994</v>
      </c>
    </row>
    <row r="94" customFormat="false" ht="15" hidden="false" customHeight="true" outlineLevel="0" collapsed="false">
      <c r="A94" s="11" t="n">
        <v>45384</v>
      </c>
      <c r="B94" s="10" t="n">
        <f aca="false">YEAR(A94)</f>
        <v>2024</v>
      </c>
      <c r="C94" s="10" t="n">
        <f aca="false">MONTH(A94)</f>
        <v>4</v>
      </c>
      <c r="D94" s="10" t="str">
        <f aca="false">TEXT(A94,"mmm")</f>
        <v>Apr</v>
      </c>
      <c r="E94" s="10" t="str">
        <f aca="false">"Q"&amp;ROUNDUP(C94/3,0)</f>
        <v>Q2</v>
      </c>
      <c r="F94" s="10" t="str">
        <f aca="false">TEXT(A94,"ddd")</f>
        <v>Tue</v>
      </c>
      <c r="G94" s="10" t="str">
        <f aca="false">IF(WEEKDAY(A94,2)&gt;5,"Yes","No")</f>
        <v>No</v>
      </c>
      <c r="H94" s="10"/>
    </row>
    <row r="95" customFormat="false" ht="15" hidden="false" customHeight="true" outlineLevel="0" collapsed="false">
      <c r="A95" s="11" t="n">
        <v>45385</v>
      </c>
      <c r="B95" s="10" t="n">
        <f aca="false">YEAR(A95)</f>
        <v>2024</v>
      </c>
      <c r="C95" s="10" t="n">
        <f aca="false">MONTH(A95)</f>
        <v>4</v>
      </c>
      <c r="D95" s="10" t="str">
        <f aca="false">TEXT(A95,"mmm")</f>
        <v>Apr</v>
      </c>
      <c r="E95" s="10" t="str">
        <f aca="false">"Q"&amp;ROUNDUP(C95/3,0)</f>
        <v>Q2</v>
      </c>
      <c r="F95" s="10" t="str">
        <f aca="false">TEXT(A95,"ddd")</f>
        <v>Wed</v>
      </c>
      <c r="G95" s="10" t="str">
        <f aca="false">IF(WEEKDAY(A95,2)&gt;5,"Yes","No")</f>
        <v>No</v>
      </c>
      <c r="H95" s="10"/>
    </row>
    <row r="96" customFormat="false" ht="15" hidden="false" customHeight="true" outlineLevel="0" collapsed="false">
      <c r="A96" s="11" t="n">
        <v>45386</v>
      </c>
      <c r="B96" s="10" t="n">
        <f aca="false">YEAR(A96)</f>
        <v>2024</v>
      </c>
      <c r="C96" s="10" t="n">
        <f aca="false">MONTH(A96)</f>
        <v>4</v>
      </c>
      <c r="D96" s="10" t="str">
        <f aca="false">TEXT(A96,"mmm")</f>
        <v>Apr</v>
      </c>
      <c r="E96" s="10" t="str">
        <f aca="false">"Q"&amp;ROUNDUP(C96/3,0)</f>
        <v>Q2</v>
      </c>
      <c r="F96" s="10" t="str">
        <f aca="false">TEXT(A96,"ddd")</f>
        <v>Thu</v>
      </c>
      <c r="G96" s="10" t="str">
        <f aca="false">IF(WEEKDAY(A96,2)&gt;5,"Yes","No")</f>
        <v>No</v>
      </c>
      <c r="H96" s="10"/>
    </row>
    <row r="97" customFormat="false" ht="15" hidden="false" customHeight="true" outlineLevel="0" collapsed="false">
      <c r="A97" s="11" t="n">
        <v>45387</v>
      </c>
      <c r="B97" s="10" t="n">
        <f aca="false">YEAR(A97)</f>
        <v>2024</v>
      </c>
      <c r="C97" s="10" t="n">
        <f aca="false">MONTH(A97)</f>
        <v>4</v>
      </c>
      <c r="D97" s="10" t="str">
        <f aca="false">TEXT(A97,"mmm")</f>
        <v>Apr</v>
      </c>
      <c r="E97" s="10" t="str">
        <f aca="false">"Q"&amp;ROUNDUP(C97/3,0)</f>
        <v>Q2</v>
      </c>
      <c r="F97" s="10" t="str">
        <f aca="false">TEXT(A97,"ddd")</f>
        <v>Fri</v>
      </c>
      <c r="G97" s="10" t="str">
        <f aca="false">IF(WEEKDAY(A97,2)&gt;5,"Yes","No")</f>
        <v>No</v>
      </c>
      <c r="H97" s="10"/>
    </row>
    <row r="98" customFormat="false" ht="15" hidden="false" customHeight="true" outlineLevel="0" collapsed="false">
      <c r="A98" s="11" t="n">
        <v>45388</v>
      </c>
      <c r="B98" s="10" t="n">
        <f aca="false">YEAR(A98)</f>
        <v>2024</v>
      </c>
      <c r="C98" s="10" t="n">
        <f aca="false">MONTH(A98)</f>
        <v>4</v>
      </c>
      <c r="D98" s="10" t="str">
        <f aca="false">TEXT(A98,"mmm")</f>
        <v>Apr</v>
      </c>
      <c r="E98" s="10" t="str">
        <f aca="false">"Q"&amp;ROUNDUP(C98/3,0)</f>
        <v>Q2</v>
      </c>
      <c r="F98" s="10" t="str">
        <f aca="false">TEXT(A98,"ddd")</f>
        <v>Sat</v>
      </c>
      <c r="G98" s="10" t="str">
        <f aca="false">IF(WEEKDAY(A98,2)&gt;5,"Yes","No")</f>
        <v>Yes</v>
      </c>
      <c r="H98" s="10"/>
    </row>
    <row r="99" customFormat="false" ht="15" hidden="false" customHeight="true" outlineLevel="0" collapsed="false">
      <c r="A99" s="11" t="n">
        <v>45389</v>
      </c>
      <c r="B99" s="10" t="n">
        <f aca="false">YEAR(A99)</f>
        <v>2024</v>
      </c>
      <c r="C99" s="10" t="n">
        <f aca="false">MONTH(A99)</f>
        <v>4</v>
      </c>
      <c r="D99" s="10" t="str">
        <f aca="false">TEXT(A99,"mmm")</f>
        <v>Apr</v>
      </c>
      <c r="E99" s="10" t="str">
        <f aca="false">"Q"&amp;ROUNDUP(C99/3,0)</f>
        <v>Q2</v>
      </c>
      <c r="F99" s="10" t="str">
        <f aca="false">TEXT(A99,"ddd")</f>
        <v>Sun</v>
      </c>
      <c r="G99" s="10" t="str">
        <f aca="false">IF(WEEKDAY(A99,2)&gt;5,"Yes","No")</f>
        <v>Yes</v>
      </c>
      <c r="H99" s="10"/>
    </row>
    <row r="100" customFormat="false" ht="15" hidden="false" customHeight="true" outlineLevel="0" collapsed="false">
      <c r="A100" s="11" t="n">
        <v>45390</v>
      </c>
      <c r="B100" s="10" t="n">
        <f aca="false">YEAR(A100)</f>
        <v>2024</v>
      </c>
      <c r="C100" s="10" t="n">
        <f aca="false">MONTH(A100)</f>
        <v>4</v>
      </c>
      <c r="D100" s="10" t="str">
        <f aca="false">TEXT(A100,"mmm")</f>
        <v>Apr</v>
      </c>
      <c r="E100" s="10" t="str">
        <f aca="false">"Q"&amp;ROUNDUP(C100/3,0)</f>
        <v>Q2</v>
      </c>
      <c r="F100" s="10" t="str">
        <f aca="false">TEXT(A100,"ddd")</f>
        <v>Mon</v>
      </c>
      <c r="G100" s="10" t="str">
        <f aca="false">IF(WEEKDAY(A100,2)&gt;5,"Yes","No")</f>
        <v>No</v>
      </c>
      <c r="H100" s="10"/>
    </row>
    <row r="101" customFormat="false" ht="15" hidden="false" customHeight="true" outlineLevel="0" collapsed="false">
      <c r="A101" s="11" t="n">
        <v>45391</v>
      </c>
      <c r="B101" s="10" t="n">
        <f aca="false">YEAR(A101)</f>
        <v>2024</v>
      </c>
      <c r="C101" s="10" t="n">
        <f aca="false">MONTH(A101)</f>
        <v>4</v>
      </c>
      <c r="D101" s="10" t="str">
        <f aca="false">TEXT(A101,"mmm")</f>
        <v>Apr</v>
      </c>
      <c r="E101" s="10" t="str">
        <f aca="false">"Q"&amp;ROUNDUP(C101/3,0)</f>
        <v>Q2</v>
      </c>
      <c r="F101" s="10" t="str">
        <f aca="false">TEXT(A101,"ddd")</f>
        <v>Tue</v>
      </c>
      <c r="G101" s="10" t="str">
        <f aca="false">IF(WEEKDAY(A101,2)&gt;5,"Yes","No")</f>
        <v>No</v>
      </c>
      <c r="H101" s="10"/>
    </row>
    <row r="102" customFormat="false" ht="15" hidden="false" customHeight="true" outlineLevel="0" collapsed="false">
      <c r="A102" s="11" t="n">
        <v>45392</v>
      </c>
      <c r="B102" s="10" t="n">
        <f aca="false">YEAR(A102)</f>
        <v>2024</v>
      </c>
      <c r="C102" s="10" t="n">
        <f aca="false">MONTH(A102)</f>
        <v>4</v>
      </c>
      <c r="D102" s="10" t="str">
        <f aca="false">TEXT(A102,"mmm")</f>
        <v>Apr</v>
      </c>
      <c r="E102" s="10" t="str">
        <f aca="false">"Q"&amp;ROUNDUP(C102/3,0)</f>
        <v>Q2</v>
      </c>
      <c r="F102" s="10" t="str">
        <f aca="false">TEXT(A102,"ddd")</f>
        <v>Wed</v>
      </c>
      <c r="G102" s="10" t="str">
        <f aca="false">IF(WEEKDAY(A102,2)&gt;5,"Yes","No")</f>
        <v>No</v>
      </c>
      <c r="H102" s="10"/>
    </row>
    <row r="103" customFormat="false" ht="15" hidden="false" customHeight="true" outlineLevel="0" collapsed="false">
      <c r="A103" s="11" t="n">
        <v>45393</v>
      </c>
      <c r="B103" s="10" t="n">
        <f aca="false">YEAR(A103)</f>
        <v>2024</v>
      </c>
      <c r="C103" s="10" t="n">
        <f aca="false">MONTH(A103)</f>
        <v>4</v>
      </c>
      <c r="D103" s="10" t="str">
        <f aca="false">TEXT(A103,"mmm")</f>
        <v>Apr</v>
      </c>
      <c r="E103" s="10" t="str">
        <f aca="false">"Q"&amp;ROUNDUP(C103/3,0)</f>
        <v>Q2</v>
      </c>
      <c r="F103" s="10" t="str">
        <f aca="false">TEXT(A103,"ddd")</f>
        <v>Thu</v>
      </c>
      <c r="G103" s="10" t="str">
        <f aca="false">IF(WEEKDAY(A103,2)&gt;5,"Yes","No")</f>
        <v>No</v>
      </c>
      <c r="H103" s="10"/>
    </row>
    <row r="104" customFormat="false" ht="15" hidden="false" customHeight="true" outlineLevel="0" collapsed="false">
      <c r="A104" s="11" t="n">
        <v>45394</v>
      </c>
      <c r="B104" s="10" t="n">
        <f aca="false">YEAR(A104)</f>
        <v>2024</v>
      </c>
      <c r="C104" s="10" t="n">
        <f aca="false">MONTH(A104)</f>
        <v>4</v>
      </c>
      <c r="D104" s="10" t="str">
        <f aca="false">TEXT(A104,"mmm")</f>
        <v>Apr</v>
      </c>
      <c r="E104" s="10" t="str">
        <f aca="false">"Q"&amp;ROUNDUP(C104/3,0)</f>
        <v>Q2</v>
      </c>
      <c r="F104" s="10" t="str">
        <f aca="false">TEXT(A104,"ddd")</f>
        <v>Fri</v>
      </c>
      <c r="G104" s="10" t="str">
        <f aca="false">IF(WEEKDAY(A104,2)&gt;5,"Yes","No")</f>
        <v>No</v>
      </c>
      <c r="H104" s="10"/>
    </row>
    <row r="105" customFormat="false" ht="15" hidden="false" customHeight="true" outlineLevel="0" collapsed="false">
      <c r="A105" s="11" t="n">
        <v>45395</v>
      </c>
      <c r="B105" s="10" t="n">
        <f aca="false">YEAR(A105)</f>
        <v>2024</v>
      </c>
      <c r="C105" s="10" t="n">
        <f aca="false">MONTH(A105)</f>
        <v>4</v>
      </c>
      <c r="D105" s="10" t="str">
        <f aca="false">TEXT(A105,"mmm")</f>
        <v>Apr</v>
      </c>
      <c r="E105" s="10" t="str">
        <f aca="false">"Q"&amp;ROUNDUP(C105/3,0)</f>
        <v>Q2</v>
      </c>
      <c r="F105" s="10" t="str">
        <f aca="false">TEXT(A105,"ddd")</f>
        <v>Sat</v>
      </c>
      <c r="G105" s="10" t="str">
        <f aca="false">IF(WEEKDAY(A105,2)&gt;5,"Yes","No")</f>
        <v>Yes</v>
      </c>
      <c r="H105" s="10"/>
    </row>
    <row r="106" customFormat="false" ht="15" hidden="false" customHeight="true" outlineLevel="0" collapsed="false">
      <c r="A106" s="11" t="n">
        <v>45396</v>
      </c>
      <c r="B106" s="10" t="n">
        <f aca="false">YEAR(A106)</f>
        <v>2024</v>
      </c>
      <c r="C106" s="10" t="n">
        <f aca="false">MONTH(A106)</f>
        <v>4</v>
      </c>
      <c r="D106" s="10" t="str">
        <f aca="false">TEXT(A106,"mmm")</f>
        <v>Apr</v>
      </c>
      <c r="E106" s="10" t="str">
        <f aca="false">"Q"&amp;ROUNDUP(C106/3,0)</f>
        <v>Q2</v>
      </c>
      <c r="F106" s="10" t="str">
        <f aca="false">TEXT(A106,"ddd")</f>
        <v>Sun</v>
      </c>
      <c r="G106" s="10" t="str">
        <f aca="false">IF(WEEKDAY(A106,2)&gt;5,"Yes","No")</f>
        <v>Yes</v>
      </c>
      <c r="H106" s="10"/>
    </row>
    <row r="107" customFormat="false" ht="15" hidden="false" customHeight="true" outlineLevel="0" collapsed="false">
      <c r="A107" s="11" t="n">
        <v>45397</v>
      </c>
      <c r="B107" s="10" t="n">
        <f aca="false">YEAR(A107)</f>
        <v>2024</v>
      </c>
      <c r="C107" s="10" t="n">
        <f aca="false">MONTH(A107)</f>
        <v>4</v>
      </c>
      <c r="D107" s="10" t="str">
        <f aca="false">TEXT(A107,"mmm")</f>
        <v>Apr</v>
      </c>
      <c r="E107" s="10" t="str">
        <f aca="false">"Q"&amp;ROUNDUP(C107/3,0)</f>
        <v>Q2</v>
      </c>
      <c r="F107" s="10" t="str">
        <f aca="false">TEXT(A107,"ddd")</f>
        <v>Mon</v>
      </c>
      <c r="G107" s="10" t="str">
        <f aca="false">IF(WEEKDAY(A107,2)&gt;5,"Yes","No")</f>
        <v>No</v>
      </c>
      <c r="H107" s="10"/>
    </row>
    <row r="108" customFormat="false" ht="15" hidden="false" customHeight="true" outlineLevel="0" collapsed="false">
      <c r="A108" s="11" t="n">
        <v>45398</v>
      </c>
      <c r="B108" s="10" t="n">
        <f aca="false">YEAR(A108)</f>
        <v>2024</v>
      </c>
      <c r="C108" s="10" t="n">
        <f aca="false">MONTH(A108)</f>
        <v>4</v>
      </c>
      <c r="D108" s="10" t="str">
        <f aca="false">TEXT(A108,"mmm")</f>
        <v>Apr</v>
      </c>
      <c r="E108" s="10" t="str">
        <f aca="false">"Q"&amp;ROUNDUP(C108/3,0)</f>
        <v>Q2</v>
      </c>
      <c r="F108" s="10" t="str">
        <f aca="false">TEXT(A108,"ddd")</f>
        <v>Tue</v>
      </c>
      <c r="G108" s="10" t="str">
        <f aca="false">IF(WEEKDAY(A108,2)&gt;5,"Yes","No")</f>
        <v>No</v>
      </c>
      <c r="H108" s="10"/>
    </row>
    <row r="109" customFormat="false" ht="15" hidden="false" customHeight="true" outlineLevel="0" collapsed="false">
      <c r="A109" s="11" t="n">
        <v>45399</v>
      </c>
      <c r="B109" s="10" t="n">
        <f aca="false">YEAR(A109)</f>
        <v>2024</v>
      </c>
      <c r="C109" s="10" t="n">
        <f aca="false">MONTH(A109)</f>
        <v>4</v>
      </c>
      <c r="D109" s="10" t="str">
        <f aca="false">TEXT(A109,"mmm")</f>
        <v>Apr</v>
      </c>
      <c r="E109" s="10" t="str">
        <f aca="false">"Q"&amp;ROUNDUP(C109/3,0)</f>
        <v>Q2</v>
      </c>
      <c r="F109" s="10" t="str">
        <f aca="false">TEXT(A109,"ddd")</f>
        <v>Wed</v>
      </c>
      <c r="G109" s="10" t="str">
        <f aca="false">IF(WEEKDAY(A109,2)&gt;5,"Yes","No")</f>
        <v>No</v>
      </c>
      <c r="H109" s="10"/>
    </row>
    <row r="110" customFormat="false" ht="15" hidden="false" customHeight="true" outlineLevel="0" collapsed="false">
      <c r="A110" s="11" t="n">
        <v>45400</v>
      </c>
      <c r="B110" s="10" t="n">
        <f aca="false">YEAR(A110)</f>
        <v>2024</v>
      </c>
      <c r="C110" s="10" t="n">
        <f aca="false">MONTH(A110)</f>
        <v>4</v>
      </c>
      <c r="D110" s="10" t="str">
        <f aca="false">TEXT(A110,"mmm")</f>
        <v>Apr</v>
      </c>
      <c r="E110" s="10" t="str">
        <f aca="false">"Q"&amp;ROUNDUP(C110/3,0)</f>
        <v>Q2</v>
      </c>
      <c r="F110" s="10" t="str">
        <f aca="false">TEXT(A110,"ddd")</f>
        <v>Thu</v>
      </c>
      <c r="G110" s="10" t="str">
        <f aca="false">IF(WEEKDAY(A110,2)&gt;5,"Yes","No")</f>
        <v>No</v>
      </c>
      <c r="H110" s="10"/>
    </row>
    <row r="111" customFormat="false" ht="15" hidden="false" customHeight="true" outlineLevel="0" collapsed="false">
      <c r="A111" s="11" t="n">
        <v>45401</v>
      </c>
      <c r="B111" s="10" t="n">
        <f aca="false">YEAR(A111)</f>
        <v>2024</v>
      </c>
      <c r="C111" s="10" t="n">
        <f aca="false">MONTH(A111)</f>
        <v>4</v>
      </c>
      <c r="D111" s="10" t="str">
        <f aca="false">TEXT(A111,"mmm")</f>
        <v>Apr</v>
      </c>
      <c r="E111" s="10" t="str">
        <f aca="false">"Q"&amp;ROUNDUP(C111/3,0)</f>
        <v>Q2</v>
      </c>
      <c r="F111" s="10" t="str">
        <f aca="false">TEXT(A111,"ddd")</f>
        <v>Fri</v>
      </c>
      <c r="G111" s="10" t="str">
        <f aca="false">IF(WEEKDAY(A111,2)&gt;5,"Yes","No")</f>
        <v>No</v>
      </c>
      <c r="H111" s="10"/>
    </row>
    <row r="112" customFormat="false" ht="15" hidden="false" customHeight="true" outlineLevel="0" collapsed="false">
      <c r="A112" s="11" t="n">
        <v>45402</v>
      </c>
      <c r="B112" s="10" t="n">
        <f aca="false">YEAR(A112)</f>
        <v>2024</v>
      </c>
      <c r="C112" s="10" t="n">
        <f aca="false">MONTH(A112)</f>
        <v>4</v>
      </c>
      <c r="D112" s="10" t="str">
        <f aca="false">TEXT(A112,"mmm")</f>
        <v>Apr</v>
      </c>
      <c r="E112" s="10" t="str">
        <f aca="false">"Q"&amp;ROUNDUP(C112/3,0)</f>
        <v>Q2</v>
      </c>
      <c r="F112" s="10" t="str">
        <f aca="false">TEXT(A112,"ddd")</f>
        <v>Sat</v>
      </c>
      <c r="G112" s="10" t="str">
        <f aca="false">IF(WEEKDAY(A112,2)&gt;5,"Yes","No")</f>
        <v>Yes</v>
      </c>
      <c r="H112" s="10"/>
    </row>
    <row r="113" customFormat="false" ht="15" hidden="false" customHeight="true" outlineLevel="0" collapsed="false">
      <c r="A113" s="11" t="n">
        <v>45403</v>
      </c>
      <c r="B113" s="10" t="n">
        <f aca="false">YEAR(A113)</f>
        <v>2024</v>
      </c>
      <c r="C113" s="10" t="n">
        <f aca="false">MONTH(A113)</f>
        <v>4</v>
      </c>
      <c r="D113" s="10" t="str">
        <f aca="false">TEXT(A113,"mmm")</f>
        <v>Apr</v>
      </c>
      <c r="E113" s="10" t="str">
        <f aca="false">"Q"&amp;ROUNDUP(C113/3,0)</f>
        <v>Q2</v>
      </c>
      <c r="F113" s="10" t="str">
        <f aca="false">TEXT(A113,"ddd")</f>
        <v>Sun</v>
      </c>
      <c r="G113" s="10" t="str">
        <f aca="false">IF(WEEKDAY(A113,2)&gt;5,"Yes","No")</f>
        <v>Yes</v>
      </c>
      <c r="H113" s="10"/>
    </row>
    <row r="114" customFormat="false" ht="15" hidden="false" customHeight="true" outlineLevel="0" collapsed="false">
      <c r="A114" s="11" t="n">
        <v>45404</v>
      </c>
      <c r="B114" s="10" t="n">
        <f aca="false">YEAR(A114)</f>
        <v>2024</v>
      </c>
      <c r="C114" s="10" t="n">
        <f aca="false">MONTH(A114)</f>
        <v>4</v>
      </c>
      <c r="D114" s="10" t="str">
        <f aca="false">TEXT(A114,"mmm")</f>
        <v>Apr</v>
      </c>
      <c r="E114" s="10" t="str">
        <f aca="false">"Q"&amp;ROUNDUP(C114/3,0)</f>
        <v>Q2</v>
      </c>
      <c r="F114" s="10" t="str">
        <f aca="false">TEXT(A114,"ddd")</f>
        <v>Mon</v>
      </c>
      <c r="G114" s="10" t="str">
        <f aca="false">IF(WEEKDAY(A114,2)&gt;5,"Yes","No")</f>
        <v>No</v>
      </c>
      <c r="H114" s="10"/>
    </row>
    <row r="115" customFormat="false" ht="15" hidden="false" customHeight="true" outlineLevel="0" collapsed="false">
      <c r="A115" s="11" t="n">
        <v>45405</v>
      </c>
      <c r="B115" s="10" t="n">
        <f aca="false">YEAR(A115)</f>
        <v>2024</v>
      </c>
      <c r="C115" s="10" t="n">
        <f aca="false">MONTH(A115)</f>
        <v>4</v>
      </c>
      <c r="D115" s="10" t="str">
        <f aca="false">TEXT(A115,"mmm")</f>
        <v>Apr</v>
      </c>
      <c r="E115" s="10" t="str">
        <f aca="false">"Q"&amp;ROUNDUP(C115/3,0)</f>
        <v>Q2</v>
      </c>
      <c r="F115" s="10" t="str">
        <f aca="false">TEXT(A115,"ddd")</f>
        <v>Tue</v>
      </c>
      <c r="G115" s="10" t="str">
        <f aca="false">IF(WEEKDAY(A115,2)&gt;5,"Yes","No")</f>
        <v>No</v>
      </c>
      <c r="H115" s="10"/>
    </row>
    <row r="116" customFormat="false" ht="15" hidden="false" customHeight="true" outlineLevel="0" collapsed="false">
      <c r="A116" s="11" t="n">
        <v>45406</v>
      </c>
      <c r="B116" s="10" t="n">
        <f aca="false">YEAR(A116)</f>
        <v>2024</v>
      </c>
      <c r="C116" s="10" t="n">
        <f aca="false">MONTH(A116)</f>
        <v>4</v>
      </c>
      <c r="D116" s="10" t="str">
        <f aca="false">TEXT(A116,"mmm")</f>
        <v>Apr</v>
      </c>
      <c r="E116" s="10" t="str">
        <f aca="false">"Q"&amp;ROUNDUP(C116/3,0)</f>
        <v>Q2</v>
      </c>
      <c r="F116" s="10" t="str">
        <f aca="false">TEXT(A116,"ddd")</f>
        <v>Wed</v>
      </c>
      <c r="G116" s="10" t="str">
        <f aca="false">IF(WEEKDAY(A116,2)&gt;5,"Yes","No")</f>
        <v>No</v>
      </c>
      <c r="H116" s="10"/>
    </row>
    <row r="117" customFormat="false" ht="15" hidden="false" customHeight="true" outlineLevel="0" collapsed="false">
      <c r="A117" s="11" t="n">
        <v>45407</v>
      </c>
      <c r="B117" s="10" t="n">
        <f aca="false">YEAR(A117)</f>
        <v>2024</v>
      </c>
      <c r="C117" s="10" t="n">
        <f aca="false">MONTH(A117)</f>
        <v>4</v>
      </c>
      <c r="D117" s="10" t="str">
        <f aca="false">TEXT(A117,"mmm")</f>
        <v>Apr</v>
      </c>
      <c r="E117" s="10" t="str">
        <f aca="false">"Q"&amp;ROUNDUP(C117/3,0)</f>
        <v>Q2</v>
      </c>
      <c r="F117" s="10" t="str">
        <f aca="false">TEXT(A117,"ddd")</f>
        <v>Thu</v>
      </c>
      <c r="G117" s="10" t="str">
        <f aca="false">IF(WEEKDAY(A117,2)&gt;5,"Yes","No")</f>
        <v>No</v>
      </c>
      <c r="H117" s="10"/>
    </row>
    <row r="118" customFormat="false" ht="15" hidden="false" customHeight="true" outlineLevel="0" collapsed="false">
      <c r="A118" s="11" t="n">
        <v>45408</v>
      </c>
      <c r="B118" s="10" t="n">
        <f aca="false">YEAR(A118)</f>
        <v>2024</v>
      </c>
      <c r="C118" s="10" t="n">
        <f aca="false">MONTH(A118)</f>
        <v>4</v>
      </c>
      <c r="D118" s="10" t="str">
        <f aca="false">TEXT(A118,"mmm")</f>
        <v>Apr</v>
      </c>
      <c r="E118" s="10" t="str">
        <f aca="false">"Q"&amp;ROUNDUP(C118/3,0)</f>
        <v>Q2</v>
      </c>
      <c r="F118" s="10" t="str">
        <f aca="false">TEXT(A118,"ddd")</f>
        <v>Fri</v>
      </c>
      <c r="G118" s="10" t="str">
        <f aca="false">IF(WEEKDAY(A118,2)&gt;5,"Yes","No")</f>
        <v>No</v>
      </c>
      <c r="H118" s="10"/>
    </row>
    <row r="119" customFormat="false" ht="15" hidden="false" customHeight="true" outlineLevel="0" collapsed="false">
      <c r="A119" s="11" t="n">
        <v>45409</v>
      </c>
      <c r="B119" s="10" t="n">
        <f aca="false">YEAR(A119)</f>
        <v>2024</v>
      </c>
      <c r="C119" s="10" t="n">
        <f aca="false">MONTH(A119)</f>
        <v>4</v>
      </c>
      <c r="D119" s="10" t="str">
        <f aca="false">TEXT(A119,"mmm")</f>
        <v>Apr</v>
      </c>
      <c r="E119" s="10" t="str">
        <f aca="false">"Q"&amp;ROUNDUP(C119/3,0)</f>
        <v>Q2</v>
      </c>
      <c r="F119" s="10" t="str">
        <f aca="false">TEXT(A119,"ddd")</f>
        <v>Sat</v>
      </c>
      <c r="G119" s="10" t="str">
        <f aca="false">IF(WEEKDAY(A119,2)&gt;5,"Yes","No")</f>
        <v>Yes</v>
      </c>
      <c r="H119" s="10" t="s">
        <v>995</v>
      </c>
    </row>
    <row r="120" customFormat="false" ht="15" hidden="false" customHeight="true" outlineLevel="0" collapsed="false">
      <c r="A120" s="11" t="n">
        <v>45410</v>
      </c>
      <c r="B120" s="10" t="n">
        <f aca="false">YEAR(A120)</f>
        <v>2024</v>
      </c>
      <c r="C120" s="10" t="n">
        <f aca="false">MONTH(A120)</f>
        <v>4</v>
      </c>
      <c r="D120" s="10" t="str">
        <f aca="false">TEXT(A120,"mmm")</f>
        <v>Apr</v>
      </c>
      <c r="E120" s="10" t="str">
        <f aca="false">"Q"&amp;ROUNDUP(C120/3,0)</f>
        <v>Q2</v>
      </c>
      <c r="F120" s="10" t="str">
        <f aca="false">TEXT(A120,"ddd")</f>
        <v>Sun</v>
      </c>
      <c r="G120" s="10" t="str">
        <f aca="false">IF(WEEKDAY(A120,2)&gt;5,"Yes","No")</f>
        <v>Yes</v>
      </c>
      <c r="H120" s="10"/>
    </row>
    <row r="121" customFormat="false" ht="15" hidden="false" customHeight="true" outlineLevel="0" collapsed="false">
      <c r="A121" s="11" t="n">
        <v>45411</v>
      </c>
      <c r="B121" s="10" t="n">
        <f aca="false">YEAR(A121)</f>
        <v>2024</v>
      </c>
      <c r="C121" s="10" t="n">
        <f aca="false">MONTH(A121)</f>
        <v>4</v>
      </c>
      <c r="D121" s="10" t="str">
        <f aca="false">TEXT(A121,"mmm")</f>
        <v>Apr</v>
      </c>
      <c r="E121" s="10" t="str">
        <f aca="false">"Q"&amp;ROUNDUP(C121/3,0)</f>
        <v>Q2</v>
      </c>
      <c r="F121" s="10" t="str">
        <f aca="false">TEXT(A121,"ddd")</f>
        <v>Mon</v>
      </c>
      <c r="G121" s="10" t="str">
        <f aca="false">IF(WEEKDAY(A121,2)&gt;5,"Yes","No")</f>
        <v>No</v>
      </c>
      <c r="H121" s="10"/>
    </row>
    <row r="122" customFormat="false" ht="15" hidden="false" customHeight="true" outlineLevel="0" collapsed="false">
      <c r="A122" s="11" t="n">
        <v>45412</v>
      </c>
      <c r="B122" s="10" t="n">
        <f aca="false">YEAR(A122)</f>
        <v>2024</v>
      </c>
      <c r="C122" s="10" t="n">
        <f aca="false">MONTH(A122)</f>
        <v>4</v>
      </c>
      <c r="D122" s="10" t="str">
        <f aca="false">TEXT(A122,"mmm")</f>
        <v>Apr</v>
      </c>
      <c r="E122" s="10" t="str">
        <f aca="false">"Q"&amp;ROUNDUP(C122/3,0)</f>
        <v>Q2</v>
      </c>
      <c r="F122" s="10" t="str">
        <f aca="false">TEXT(A122,"ddd")</f>
        <v>Tue</v>
      </c>
      <c r="G122" s="10" t="str">
        <f aca="false">IF(WEEKDAY(A122,2)&gt;5,"Yes","No")</f>
        <v>No</v>
      </c>
      <c r="H122" s="10"/>
    </row>
    <row r="123" customFormat="false" ht="15" hidden="false" customHeight="true" outlineLevel="0" collapsed="false">
      <c r="A123" s="11" t="n">
        <v>45413</v>
      </c>
      <c r="B123" s="10" t="n">
        <f aca="false">YEAR(A123)</f>
        <v>2024</v>
      </c>
      <c r="C123" s="10" t="n">
        <f aca="false">MONTH(A123)</f>
        <v>5</v>
      </c>
      <c r="D123" s="10" t="str">
        <f aca="false">TEXT(A123,"mmm")</f>
        <v>May</v>
      </c>
      <c r="E123" s="10" t="str">
        <f aca="false">"Q"&amp;ROUNDUP(C123/3,0)</f>
        <v>Q2</v>
      </c>
      <c r="F123" s="10" t="str">
        <f aca="false">TEXT(A123,"ddd")</f>
        <v>Wed</v>
      </c>
      <c r="G123" s="10" t="str">
        <f aca="false">IF(WEEKDAY(A123,2)&gt;5,"Yes","No")</f>
        <v>No</v>
      </c>
      <c r="H123" s="10" t="s">
        <v>996</v>
      </c>
    </row>
    <row r="124" customFormat="false" ht="15" hidden="false" customHeight="true" outlineLevel="0" collapsed="false">
      <c r="A124" s="11" t="n">
        <v>45414</v>
      </c>
      <c r="B124" s="10" t="n">
        <f aca="false">YEAR(A124)</f>
        <v>2024</v>
      </c>
      <c r="C124" s="10" t="n">
        <f aca="false">MONTH(A124)</f>
        <v>5</v>
      </c>
      <c r="D124" s="10" t="str">
        <f aca="false">TEXT(A124,"mmm")</f>
        <v>May</v>
      </c>
      <c r="E124" s="10" t="str">
        <f aca="false">"Q"&amp;ROUNDUP(C124/3,0)</f>
        <v>Q2</v>
      </c>
      <c r="F124" s="10" t="str">
        <f aca="false">TEXT(A124,"ddd")</f>
        <v>Thu</v>
      </c>
      <c r="G124" s="10" t="str">
        <f aca="false">IF(WEEKDAY(A124,2)&gt;5,"Yes","No")</f>
        <v>No</v>
      </c>
      <c r="H124" s="10"/>
    </row>
    <row r="125" customFormat="false" ht="15" hidden="false" customHeight="true" outlineLevel="0" collapsed="false">
      <c r="A125" s="11" t="n">
        <v>45415</v>
      </c>
      <c r="B125" s="10" t="n">
        <f aca="false">YEAR(A125)</f>
        <v>2024</v>
      </c>
      <c r="C125" s="10" t="n">
        <f aca="false">MONTH(A125)</f>
        <v>5</v>
      </c>
      <c r="D125" s="10" t="str">
        <f aca="false">TEXT(A125,"mmm")</f>
        <v>May</v>
      </c>
      <c r="E125" s="10" t="str">
        <f aca="false">"Q"&amp;ROUNDUP(C125/3,0)</f>
        <v>Q2</v>
      </c>
      <c r="F125" s="10" t="str">
        <f aca="false">TEXT(A125,"ddd")</f>
        <v>Fri</v>
      </c>
      <c r="G125" s="10" t="str">
        <f aca="false">IF(WEEKDAY(A125,2)&gt;5,"Yes","No")</f>
        <v>No</v>
      </c>
      <c r="H125" s="10"/>
    </row>
    <row r="126" customFormat="false" ht="15" hidden="false" customHeight="true" outlineLevel="0" collapsed="false">
      <c r="A126" s="11" t="n">
        <v>45416</v>
      </c>
      <c r="B126" s="10" t="n">
        <f aca="false">YEAR(A126)</f>
        <v>2024</v>
      </c>
      <c r="C126" s="10" t="n">
        <f aca="false">MONTH(A126)</f>
        <v>5</v>
      </c>
      <c r="D126" s="10" t="str">
        <f aca="false">TEXT(A126,"mmm")</f>
        <v>May</v>
      </c>
      <c r="E126" s="10" t="str">
        <f aca="false">"Q"&amp;ROUNDUP(C126/3,0)</f>
        <v>Q2</v>
      </c>
      <c r="F126" s="10" t="str">
        <f aca="false">TEXT(A126,"ddd")</f>
        <v>Sat</v>
      </c>
      <c r="G126" s="10" t="str">
        <f aca="false">IF(WEEKDAY(A126,2)&gt;5,"Yes","No")</f>
        <v>Yes</v>
      </c>
      <c r="H126" s="10"/>
    </row>
    <row r="127" customFormat="false" ht="15" hidden="false" customHeight="true" outlineLevel="0" collapsed="false">
      <c r="A127" s="11" t="n">
        <v>45417</v>
      </c>
      <c r="B127" s="10" t="n">
        <f aca="false">YEAR(A127)</f>
        <v>2024</v>
      </c>
      <c r="C127" s="10" t="n">
        <f aca="false">MONTH(A127)</f>
        <v>5</v>
      </c>
      <c r="D127" s="10" t="str">
        <f aca="false">TEXT(A127,"mmm")</f>
        <v>May</v>
      </c>
      <c r="E127" s="10" t="str">
        <f aca="false">"Q"&amp;ROUNDUP(C127/3,0)</f>
        <v>Q2</v>
      </c>
      <c r="F127" s="10" t="str">
        <f aca="false">TEXT(A127,"ddd")</f>
        <v>Sun</v>
      </c>
      <c r="G127" s="10" t="str">
        <f aca="false">IF(WEEKDAY(A127,2)&gt;5,"Yes","No")</f>
        <v>Yes</v>
      </c>
      <c r="H127" s="10"/>
    </row>
    <row r="128" customFormat="false" ht="15" hidden="false" customHeight="true" outlineLevel="0" collapsed="false">
      <c r="A128" s="11" t="n">
        <v>45418</v>
      </c>
      <c r="B128" s="10" t="n">
        <f aca="false">YEAR(A128)</f>
        <v>2024</v>
      </c>
      <c r="C128" s="10" t="n">
        <f aca="false">MONTH(A128)</f>
        <v>5</v>
      </c>
      <c r="D128" s="10" t="str">
        <f aca="false">TEXT(A128,"mmm")</f>
        <v>May</v>
      </c>
      <c r="E128" s="10" t="str">
        <f aca="false">"Q"&amp;ROUNDUP(C128/3,0)</f>
        <v>Q2</v>
      </c>
      <c r="F128" s="10" t="str">
        <f aca="false">TEXT(A128,"ddd")</f>
        <v>Mon</v>
      </c>
      <c r="G128" s="10" t="str">
        <f aca="false">IF(WEEKDAY(A128,2)&gt;5,"Yes","No")</f>
        <v>No</v>
      </c>
      <c r="H128" s="10"/>
    </row>
    <row r="129" customFormat="false" ht="15" hidden="false" customHeight="true" outlineLevel="0" collapsed="false">
      <c r="A129" s="11" t="n">
        <v>45419</v>
      </c>
      <c r="B129" s="10" t="n">
        <f aca="false">YEAR(A129)</f>
        <v>2024</v>
      </c>
      <c r="C129" s="10" t="n">
        <f aca="false">MONTH(A129)</f>
        <v>5</v>
      </c>
      <c r="D129" s="10" t="str">
        <f aca="false">TEXT(A129,"mmm")</f>
        <v>May</v>
      </c>
      <c r="E129" s="10" t="str">
        <f aca="false">"Q"&amp;ROUNDUP(C129/3,0)</f>
        <v>Q2</v>
      </c>
      <c r="F129" s="10" t="str">
        <f aca="false">TEXT(A129,"ddd")</f>
        <v>Tue</v>
      </c>
      <c r="G129" s="10" t="str">
        <f aca="false">IF(WEEKDAY(A129,2)&gt;5,"Yes","No")</f>
        <v>No</v>
      </c>
      <c r="H129" s="10"/>
    </row>
    <row r="130" customFormat="false" ht="15" hidden="false" customHeight="true" outlineLevel="0" collapsed="false">
      <c r="A130" s="11" t="n">
        <v>45420</v>
      </c>
      <c r="B130" s="10" t="n">
        <f aca="false">YEAR(A130)</f>
        <v>2024</v>
      </c>
      <c r="C130" s="10" t="n">
        <f aca="false">MONTH(A130)</f>
        <v>5</v>
      </c>
      <c r="D130" s="10" t="str">
        <f aca="false">TEXT(A130,"mmm")</f>
        <v>May</v>
      </c>
      <c r="E130" s="10" t="str">
        <f aca="false">"Q"&amp;ROUNDUP(C130/3,0)</f>
        <v>Q2</v>
      </c>
      <c r="F130" s="10" t="str">
        <f aca="false">TEXT(A130,"ddd")</f>
        <v>Wed</v>
      </c>
      <c r="G130" s="10" t="str">
        <f aca="false">IF(WEEKDAY(A130,2)&gt;5,"Yes","No")</f>
        <v>No</v>
      </c>
      <c r="H130" s="10"/>
    </row>
    <row r="131" customFormat="false" ht="15" hidden="false" customHeight="true" outlineLevel="0" collapsed="false">
      <c r="A131" s="11" t="n">
        <v>45421</v>
      </c>
      <c r="B131" s="10" t="n">
        <f aca="false">YEAR(A131)</f>
        <v>2024</v>
      </c>
      <c r="C131" s="10" t="n">
        <f aca="false">MONTH(A131)</f>
        <v>5</v>
      </c>
      <c r="D131" s="10" t="str">
        <f aca="false">TEXT(A131,"mmm")</f>
        <v>May</v>
      </c>
      <c r="E131" s="10" t="str">
        <f aca="false">"Q"&amp;ROUNDUP(C131/3,0)</f>
        <v>Q2</v>
      </c>
      <c r="F131" s="10" t="str">
        <f aca="false">TEXT(A131,"ddd")</f>
        <v>Thu</v>
      </c>
      <c r="G131" s="10" t="str">
        <f aca="false">IF(WEEKDAY(A131,2)&gt;5,"Yes","No")</f>
        <v>No</v>
      </c>
      <c r="H131" s="10"/>
    </row>
    <row r="132" customFormat="false" ht="15" hidden="false" customHeight="true" outlineLevel="0" collapsed="false">
      <c r="A132" s="11" t="n">
        <v>45422</v>
      </c>
      <c r="B132" s="10" t="n">
        <f aca="false">YEAR(A132)</f>
        <v>2024</v>
      </c>
      <c r="C132" s="10" t="n">
        <f aca="false">MONTH(A132)</f>
        <v>5</v>
      </c>
      <c r="D132" s="10" t="str">
        <f aca="false">TEXT(A132,"mmm")</f>
        <v>May</v>
      </c>
      <c r="E132" s="10" t="str">
        <f aca="false">"Q"&amp;ROUNDUP(C132/3,0)</f>
        <v>Q2</v>
      </c>
      <c r="F132" s="10" t="str">
        <f aca="false">TEXT(A132,"ddd")</f>
        <v>Fri</v>
      </c>
      <c r="G132" s="10" t="str">
        <f aca="false">IF(WEEKDAY(A132,2)&gt;5,"Yes","No")</f>
        <v>No</v>
      </c>
      <c r="H132" s="10"/>
    </row>
    <row r="133" customFormat="false" ht="15" hidden="false" customHeight="true" outlineLevel="0" collapsed="false">
      <c r="A133" s="11" t="n">
        <v>45423</v>
      </c>
      <c r="B133" s="10" t="n">
        <f aca="false">YEAR(A133)</f>
        <v>2024</v>
      </c>
      <c r="C133" s="10" t="n">
        <f aca="false">MONTH(A133)</f>
        <v>5</v>
      </c>
      <c r="D133" s="10" t="str">
        <f aca="false">TEXT(A133,"mmm")</f>
        <v>May</v>
      </c>
      <c r="E133" s="10" t="str">
        <f aca="false">"Q"&amp;ROUNDUP(C133/3,0)</f>
        <v>Q2</v>
      </c>
      <c r="F133" s="10" t="str">
        <f aca="false">TEXT(A133,"ddd")</f>
        <v>Sat</v>
      </c>
      <c r="G133" s="10" t="str">
        <f aca="false">IF(WEEKDAY(A133,2)&gt;5,"Yes","No")</f>
        <v>Yes</v>
      </c>
      <c r="H133" s="10"/>
    </row>
    <row r="134" customFormat="false" ht="15" hidden="false" customHeight="true" outlineLevel="0" collapsed="false">
      <c r="A134" s="11" t="n">
        <v>45424</v>
      </c>
      <c r="B134" s="10" t="n">
        <f aca="false">YEAR(A134)</f>
        <v>2024</v>
      </c>
      <c r="C134" s="10" t="n">
        <f aca="false">MONTH(A134)</f>
        <v>5</v>
      </c>
      <c r="D134" s="10" t="str">
        <f aca="false">TEXT(A134,"mmm")</f>
        <v>May</v>
      </c>
      <c r="E134" s="10" t="str">
        <f aca="false">"Q"&amp;ROUNDUP(C134/3,0)</f>
        <v>Q2</v>
      </c>
      <c r="F134" s="10" t="str">
        <f aca="false">TEXT(A134,"ddd")</f>
        <v>Sun</v>
      </c>
      <c r="G134" s="10" t="str">
        <f aca="false">IF(WEEKDAY(A134,2)&gt;5,"Yes","No")</f>
        <v>Yes</v>
      </c>
      <c r="H134" s="10"/>
    </row>
    <row r="135" customFormat="false" ht="15" hidden="false" customHeight="true" outlineLevel="0" collapsed="false">
      <c r="A135" s="11" t="n">
        <v>45425</v>
      </c>
      <c r="B135" s="10" t="n">
        <f aca="false">YEAR(A135)</f>
        <v>2024</v>
      </c>
      <c r="C135" s="10" t="n">
        <f aca="false">MONTH(A135)</f>
        <v>5</v>
      </c>
      <c r="D135" s="10" t="str">
        <f aca="false">TEXT(A135,"mmm")</f>
        <v>May</v>
      </c>
      <c r="E135" s="10" t="str">
        <f aca="false">"Q"&amp;ROUNDUP(C135/3,0)</f>
        <v>Q2</v>
      </c>
      <c r="F135" s="10" t="str">
        <f aca="false">TEXT(A135,"ddd")</f>
        <v>Mon</v>
      </c>
      <c r="G135" s="10" t="str">
        <f aca="false">IF(WEEKDAY(A135,2)&gt;5,"Yes","No")</f>
        <v>No</v>
      </c>
      <c r="H135" s="10"/>
    </row>
    <row r="136" customFormat="false" ht="15" hidden="false" customHeight="true" outlineLevel="0" collapsed="false">
      <c r="A136" s="11" t="n">
        <v>45426</v>
      </c>
      <c r="B136" s="10" t="n">
        <f aca="false">YEAR(A136)</f>
        <v>2024</v>
      </c>
      <c r="C136" s="10" t="n">
        <f aca="false">MONTH(A136)</f>
        <v>5</v>
      </c>
      <c r="D136" s="10" t="str">
        <f aca="false">TEXT(A136,"mmm")</f>
        <v>May</v>
      </c>
      <c r="E136" s="10" t="str">
        <f aca="false">"Q"&amp;ROUNDUP(C136/3,0)</f>
        <v>Q2</v>
      </c>
      <c r="F136" s="10" t="str">
        <f aca="false">TEXT(A136,"ddd")</f>
        <v>Tue</v>
      </c>
      <c r="G136" s="10" t="str">
        <f aca="false">IF(WEEKDAY(A136,2)&gt;5,"Yes","No")</f>
        <v>No</v>
      </c>
      <c r="H136" s="10"/>
    </row>
    <row r="137" customFormat="false" ht="15" hidden="false" customHeight="true" outlineLevel="0" collapsed="false">
      <c r="A137" s="11" t="n">
        <v>45427</v>
      </c>
      <c r="B137" s="10" t="n">
        <f aca="false">YEAR(A137)</f>
        <v>2024</v>
      </c>
      <c r="C137" s="10" t="n">
        <f aca="false">MONTH(A137)</f>
        <v>5</v>
      </c>
      <c r="D137" s="10" t="str">
        <f aca="false">TEXT(A137,"mmm")</f>
        <v>May</v>
      </c>
      <c r="E137" s="10" t="str">
        <f aca="false">"Q"&amp;ROUNDUP(C137/3,0)</f>
        <v>Q2</v>
      </c>
      <c r="F137" s="10" t="str">
        <f aca="false">TEXT(A137,"ddd")</f>
        <v>Wed</v>
      </c>
      <c r="G137" s="10" t="str">
        <f aca="false">IF(WEEKDAY(A137,2)&gt;5,"Yes","No")</f>
        <v>No</v>
      </c>
      <c r="H137" s="10"/>
    </row>
    <row r="138" customFormat="false" ht="15" hidden="false" customHeight="true" outlineLevel="0" collapsed="false">
      <c r="A138" s="11" t="n">
        <v>45428</v>
      </c>
      <c r="B138" s="10" t="n">
        <f aca="false">YEAR(A138)</f>
        <v>2024</v>
      </c>
      <c r="C138" s="10" t="n">
        <f aca="false">MONTH(A138)</f>
        <v>5</v>
      </c>
      <c r="D138" s="10" t="str">
        <f aca="false">TEXT(A138,"mmm")</f>
        <v>May</v>
      </c>
      <c r="E138" s="10" t="str">
        <f aca="false">"Q"&amp;ROUNDUP(C138/3,0)</f>
        <v>Q2</v>
      </c>
      <c r="F138" s="10" t="str">
        <f aca="false">TEXT(A138,"ddd")</f>
        <v>Thu</v>
      </c>
      <c r="G138" s="10" t="str">
        <f aca="false">IF(WEEKDAY(A138,2)&gt;5,"Yes","No")</f>
        <v>No</v>
      </c>
      <c r="H138" s="10"/>
    </row>
    <row r="139" customFormat="false" ht="15" hidden="false" customHeight="true" outlineLevel="0" collapsed="false">
      <c r="A139" s="11" t="n">
        <v>45429</v>
      </c>
      <c r="B139" s="10" t="n">
        <f aca="false">YEAR(A139)</f>
        <v>2024</v>
      </c>
      <c r="C139" s="10" t="n">
        <f aca="false">MONTH(A139)</f>
        <v>5</v>
      </c>
      <c r="D139" s="10" t="str">
        <f aca="false">TEXT(A139,"mmm")</f>
        <v>May</v>
      </c>
      <c r="E139" s="10" t="str">
        <f aca="false">"Q"&amp;ROUNDUP(C139/3,0)</f>
        <v>Q2</v>
      </c>
      <c r="F139" s="10" t="str">
        <f aca="false">TEXT(A139,"ddd")</f>
        <v>Fri</v>
      </c>
      <c r="G139" s="10" t="str">
        <f aca="false">IF(WEEKDAY(A139,2)&gt;5,"Yes","No")</f>
        <v>No</v>
      </c>
      <c r="H139" s="10"/>
    </row>
    <row r="140" customFormat="false" ht="15" hidden="false" customHeight="true" outlineLevel="0" collapsed="false">
      <c r="A140" s="11" t="n">
        <v>45430</v>
      </c>
      <c r="B140" s="10" t="n">
        <f aca="false">YEAR(A140)</f>
        <v>2024</v>
      </c>
      <c r="C140" s="10" t="n">
        <f aca="false">MONTH(A140)</f>
        <v>5</v>
      </c>
      <c r="D140" s="10" t="str">
        <f aca="false">TEXT(A140,"mmm")</f>
        <v>May</v>
      </c>
      <c r="E140" s="10" t="str">
        <f aca="false">"Q"&amp;ROUNDUP(C140/3,0)</f>
        <v>Q2</v>
      </c>
      <c r="F140" s="10" t="str">
        <f aca="false">TEXT(A140,"ddd")</f>
        <v>Sat</v>
      </c>
      <c r="G140" s="10" t="str">
        <f aca="false">IF(WEEKDAY(A140,2)&gt;5,"Yes","No")</f>
        <v>Yes</v>
      </c>
      <c r="H140" s="10"/>
    </row>
    <row r="141" customFormat="false" ht="15" hidden="false" customHeight="true" outlineLevel="0" collapsed="false">
      <c r="A141" s="11" t="n">
        <v>45431</v>
      </c>
      <c r="B141" s="10" t="n">
        <f aca="false">YEAR(A141)</f>
        <v>2024</v>
      </c>
      <c r="C141" s="10" t="n">
        <f aca="false">MONTH(A141)</f>
        <v>5</v>
      </c>
      <c r="D141" s="10" t="str">
        <f aca="false">TEXT(A141,"mmm")</f>
        <v>May</v>
      </c>
      <c r="E141" s="10" t="str">
        <f aca="false">"Q"&amp;ROUNDUP(C141/3,0)</f>
        <v>Q2</v>
      </c>
      <c r="F141" s="10" t="str">
        <f aca="false">TEXT(A141,"ddd")</f>
        <v>Sun</v>
      </c>
      <c r="G141" s="10" t="str">
        <f aca="false">IF(WEEKDAY(A141,2)&gt;5,"Yes","No")</f>
        <v>Yes</v>
      </c>
      <c r="H141" s="10"/>
    </row>
    <row r="142" customFormat="false" ht="15" hidden="false" customHeight="true" outlineLevel="0" collapsed="false">
      <c r="A142" s="11" t="n">
        <v>45432</v>
      </c>
      <c r="B142" s="10" t="n">
        <f aca="false">YEAR(A142)</f>
        <v>2024</v>
      </c>
      <c r="C142" s="10" t="n">
        <f aca="false">MONTH(A142)</f>
        <v>5</v>
      </c>
      <c r="D142" s="10" t="str">
        <f aca="false">TEXT(A142,"mmm")</f>
        <v>May</v>
      </c>
      <c r="E142" s="10" t="str">
        <f aca="false">"Q"&amp;ROUNDUP(C142/3,0)</f>
        <v>Q2</v>
      </c>
      <c r="F142" s="10" t="str">
        <f aca="false">TEXT(A142,"ddd")</f>
        <v>Mon</v>
      </c>
      <c r="G142" s="10" t="str">
        <f aca="false">IF(WEEKDAY(A142,2)&gt;5,"Yes","No")</f>
        <v>No</v>
      </c>
      <c r="H142" s="10"/>
    </row>
    <row r="143" customFormat="false" ht="15" hidden="false" customHeight="true" outlineLevel="0" collapsed="false">
      <c r="A143" s="11" t="n">
        <v>45433</v>
      </c>
      <c r="B143" s="10" t="n">
        <f aca="false">YEAR(A143)</f>
        <v>2024</v>
      </c>
      <c r="C143" s="10" t="n">
        <f aca="false">MONTH(A143)</f>
        <v>5</v>
      </c>
      <c r="D143" s="10" t="str">
        <f aca="false">TEXT(A143,"mmm")</f>
        <v>May</v>
      </c>
      <c r="E143" s="10" t="str">
        <f aca="false">"Q"&amp;ROUNDUP(C143/3,0)</f>
        <v>Q2</v>
      </c>
      <c r="F143" s="10" t="str">
        <f aca="false">TEXT(A143,"ddd")</f>
        <v>Tue</v>
      </c>
      <c r="G143" s="10" t="str">
        <f aca="false">IF(WEEKDAY(A143,2)&gt;5,"Yes","No")</f>
        <v>No</v>
      </c>
      <c r="H143" s="10"/>
    </row>
    <row r="144" customFormat="false" ht="15" hidden="false" customHeight="true" outlineLevel="0" collapsed="false">
      <c r="A144" s="11" t="n">
        <v>45434</v>
      </c>
      <c r="B144" s="10" t="n">
        <f aca="false">YEAR(A144)</f>
        <v>2024</v>
      </c>
      <c r="C144" s="10" t="n">
        <f aca="false">MONTH(A144)</f>
        <v>5</v>
      </c>
      <c r="D144" s="10" t="str">
        <f aca="false">TEXT(A144,"mmm")</f>
        <v>May</v>
      </c>
      <c r="E144" s="10" t="str">
        <f aca="false">"Q"&amp;ROUNDUP(C144/3,0)</f>
        <v>Q2</v>
      </c>
      <c r="F144" s="10" t="str">
        <f aca="false">TEXT(A144,"ddd")</f>
        <v>Wed</v>
      </c>
      <c r="G144" s="10" t="str">
        <f aca="false">IF(WEEKDAY(A144,2)&gt;5,"Yes","No")</f>
        <v>No</v>
      </c>
      <c r="H144" s="10"/>
    </row>
    <row r="145" customFormat="false" ht="15" hidden="false" customHeight="true" outlineLevel="0" collapsed="false">
      <c r="A145" s="11" t="n">
        <v>45435</v>
      </c>
      <c r="B145" s="10" t="n">
        <f aca="false">YEAR(A145)</f>
        <v>2024</v>
      </c>
      <c r="C145" s="10" t="n">
        <f aca="false">MONTH(A145)</f>
        <v>5</v>
      </c>
      <c r="D145" s="10" t="str">
        <f aca="false">TEXT(A145,"mmm")</f>
        <v>May</v>
      </c>
      <c r="E145" s="10" t="str">
        <f aca="false">"Q"&amp;ROUNDUP(C145/3,0)</f>
        <v>Q2</v>
      </c>
      <c r="F145" s="10" t="str">
        <f aca="false">TEXT(A145,"ddd")</f>
        <v>Thu</v>
      </c>
      <c r="G145" s="10" t="str">
        <f aca="false">IF(WEEKDAY(A145,2)&gt;5,"Yes","No")</f>
        <v>No</v>
      </c>
      <c r="H145" s="10"/>
    </row>
    <row r="146" customFormat="false" ht="15" hidden="false" customHeight="true" outlineLevel="0" collapsed="false">
      <c r="A146" s="11" t="n">
        <v>45436</v>
      </c>
      <c r="B146" s="10" t="n">
        <f aca="false">YEAR(A146)</f>
        <v>2024</v>
      </c>
      <c r="C146" s="10" t="n">
        <f aca="false">MONTH(A146)</f>
        <v>5</v>
      </c>
      <c r="D146" s="10" t="str">
        <f aca="false">TEXT(A146,"mmm")</f>
        <v>May</v>
      </c>
      <c r="E146" s="10" t="str">
        <f aca="false">"Q"&amp;ROUNDUP(C146/3,0)</f>
        <v>Q2</v>
      </c>
      <c r="F146" s="10" t="str">
        <f aca="false">TEXT(A146,"ddd")</f>
        <v>Fri</v>
      </c>
      <c r="G146" s="10" t="str">
        <f aca="false">IF(WEEKDAY(A146,2)&gt;5,"Yes","No")</f>
        <v>No</v>
      </c>
      <c r="H146" s="10"/>
    </row>
    <row r="147" customFormat="false" ht="15" hidden="false" customHeight="true" outlineLevel="0" collapsed="false">
      <c r="A147" s="11" t="n">
        <v>45437</v>
      </c>
      <c r="B147" s="10" t="n">
        <f aca="false">YEAR(A147)</f>
        <v>2024</v>
      </c>
      <c r="C147" s="10" t="n">
        <f aca="false">MONTH(A147)</f>
        <v>5</v>
      </c>
      <c r="D147" s="10" t="str">
        <f aca="false">TEXT(A147,"mmm")</f>
        <v>May</v>
      </c>
      <c r="E147" s="10" t="str">
        <f aca="false">"Q"&amp;ROUNDUP(C147/3,0)</f>
        <v>Q2</v>
      </c>
      <c r="F147" s="10" t="str">
        <f aca="false">TEXT(A147,"ddd")</f>
        <v>Sat</v>
      </c>
      <c r="G147" s="10" t="str">
        <f aca="false">IF(WEEKDAY(A147,2)&gt;5,"Yes","No")</f>
        <v>Yes</v>
      </c>
      <c r="H147" s="10"/>
    </row>
    <row r="148" customFormat="false" ht="15" hidden="false" customHeight="true" outlineLevel="0" collapsed="false">
      <c r="A148" s="11" t="n">
        <v>45438</v>
      </c>
      <c r="B148" s="10" t="n">
        <f aca="false">YEAR(A148)</f>
        <v>2024</v>
      </c>
      <c r="C148" s="10" t="n">
        <f aca="false">MONTH(A148)</f>
        <v>5</v>
      </c>
      <c r="D148" s="10" t="str">
        <f aca="false">TEXT(A148,"mmm")</f>
        <v>May</v>
      </c>
      <c r="E148" s="10" t="str">
        <f aca="false">"Q"&amp;ROUNDUP(C148/3,0)</f>
        <v>Q2</v>
      </c>
      <c r="F148" s="10" t="str">
        <f aca="false">TEXT(A148,"ddd")</f>
        <v>Sun</v>
      </c>
      <c r="G148" s="10" t="str">
        <f aca="false">IF(WEEKDAY(A148,2)&gt;5,"Yes","No")</f>
        <v>Yes</v>
      </c>
      <c r="H148" s="10"/>
    </row>
    <row r="149" customFormat="false" ht="15" hidden="false" customHeight="true" outlineLevel="0" collapsed="false">
      <c r="A149" s="11" t="n">
        <v>45439</v>
      </c>
      <c r="B149" s="10" t="n">
        <f aca="false">YEAR(A149)</f>
        <v>2024</v>
      </c>
      <c r="C149" s="10" t="n">
        <f aca="false">MONTH(A149)</f>
        <v>5</v>
      </c>
      <c r="D149" s="10" t="str">
        <f aca="false">TEXT(A149,"mmm")</f>
        <v>May</v>
      </c>
      <c r="E149" s="10" t="str">
        <f aca="false">"Q"&amp;ROUNDUP(C149/3,0)</f>
        <v>Q2</v>
      </c>
      <c r="F149" s="10" t="str">
        <f aca="false">TEXT(A149,"ddd")</f>
        <v>Mon</v>
      </c>
      <c r="G149" s="10" t="str">
        <f aca="false">IF(WEEKDAY(A149,2)&gt;5,"Yes","No")</f>
        <v>No</v>
      </c>
      <c r="H149" s="10"/>
    </row>
    <row r="150" customFormat="false" ht="15" hidden="false" customHeight="true" outlineLevel="0" collapsed="false">
      <c r="A150" s="11" t="n">
        <v>45440</v>
      </c>
      <c r="B150" s="10" t="n">
        <f aca="false">YEAR(A150)</f>
        <v>2024</v>
      </c>
      <c r="C150" s="10" t="n">
        <f aca="false">MONTH(A150)</f>
        <v>5</v>
      </c>
      <c r="D150" s="10" t="str">
        <f aca="false">TEXT(A150,"mmm")</f>
        <v>May</v>
      </c>
      <c r="E150" s="10" t="str">
        <f aca="false">"Q"&amp;ROUNDUP(C150/3,0)</f>
        <v>Q2</v>
      </c>
      <c r="F150" s="10" t="str">
        <f aca="false">TEXT(A150,"ddd")</f>
        <v>Tue</v>
      </c>
      <c r="G150" s="10" t="str">
        <f aca="false">IF(WEEKDAY(A150,2)&gt;5,"Yes","No")</f>
        <v>No</v>
      </c>
      <c r="H150" s="10"/>
    </row>
    <row r="151" customFormat="false" ht="15" hidden="false" customHeight="true" outlineLevel="0" collapsed="false">
      <c r="A151" s="11" t="n">
        <v>45441</v>
      </c>
      <c r="B151" s="10" t="n">
        <f aca="false">YEAR(A151)</f>
        <v>2024</v>
      </c>
      <c r="C151" s="10" t="n">
        <f aca="false">MONTH(A151)</f>
        <v>5</v>
      </c>
      <c r="D151" s="10" t="str">
        <f aca="false">TEXT(A151,"mmm")</f>
        <v>May</v>
      </c>
      <c r="E151" s="10" t="str">
        <f aca="false">"Q"&amp;ROUNDUP(C151/3,0)</f>
        <v>Q2</v>
      </c>
      <c r="F151" s="10" t="str">
        <f aca="false">TEXT(A151,"ddd")</f>
        <v>Wed</v>
      </c>
      <c r="G151" s="10" t="str">
        <f aca="false">IF(WEEKDAY(A151,2)&gt;5,"Yes","No")</f>
        <v>No</v>
      </c>
      <c r="H151" s="10" t="s">
        <v>997</v>
      </c>
    </row>
    <row r="152" customFormat="false" ht="15" hidden="false" customHeight="true" outlineLevel="0" collapsed="false">
      <c r="A152" s="11" t="n">
        <v>45442</v>
      </c>
      <c r="B152" s="10" t="n">
        <f aca="false">YEAR(A152)</f>
        <v>2024</v>
      </c>
      <c r="C152" s="10" t="n">
        <f aca="false">MONTH(A152)</f>
        <v>5</v>
      </c>
      <c r="D152" s="10" t="str">
        <f aca="false">TEXT(A152,"mmm")</f>
        <v>May</v>
      </c>
      <c r="E152" s="10" t="str">
        <f aca="false">"Q"&amp;ROUNDUP(C152/3,0)</f>
        <v>Q2</v>
      </c>
      <c r="F152" s="10" t="str">
        <f aca="false">TEXT(A152,"ddd")</f>
        <v>Thu</v>
      </c>
      <c r="G152" s="10" t="str">
        <f aca="false">IF(WEEKDAY(A152,2)&gt;5,"Yes","No")</f>
        <v>No</v>
      </c>
      <c r="H152" s="10"/>
    </row>
    <row r="153" customFormat="false" ht="15" hidden="false" customHeight="true" outlineLevel="0" collapsed="false">
      <c r="A153" s="11" t="n">
        <v>45443</v>
      </c>
      <c r="B153" s="10" t="n">
        <f aca="false">YEAR(A153)</f>
        <v>2024</v>
      </c>
      <c r="C153" s="10" t="n">
        <f aca="false">MONTH(A153)</f>
        <v>5</v>
      </c>
      <c r="D153" s="10" t="str">
        <f aca="false">TEXT(A153,"mmm")</f>
        <v>May</v>
      </c>
      <c r="E153" s="10" t="str">
        <f aca="false">"Q"&amp;ROUNDUP(C153/3,0)</f>
        <v>Q2</v>
      </c>
      <c r="F153" s="10" t="str">
        <f aca="false">TEXT(A153,"ddd")</f>
        <v>Fri</v>
      </c>
      <c r="G153" s="10" t="str">
        <f aca="false">IF(WEEKDAY(A153,2)&gt;5,"Yes","No")</f>
        <v>No</v>
      </c>
      <c r="H153" s="10"/>
    </row>
    <row r="154" customFormat="false" ht="15" hidden="false" customHeight="true" outlineLevel="0" collapsed="false">
      <c r="A154" s="11" t="n">
        <v>45444</v>
      </c>
      <c r="B154" s="10" t="n">
        <f aca="false">YEAR(A154)</f>
        <v>2024</v>
      </c>
      <c r="C154" s="10" t="n">
        <f aca="false">MONTH(A154)</f>
        <v>6</v>
      </c>
      <c r="D154" s="10" t="str">
        <f aca="false">TEXT(A154,"mmm")</f>
        <v>Jun</v>
      </c>
      <c r="E154" s="10" t="str">
        <f aca="false">"Q"&amp;ROUNDUP(C154/3,0)</f>
        <v>Q2</v>
      </c>
      <c r="F154" s="10" t="str">
        <f aca="false">TEXT(A154,"ddd")</f>
        <v>Sat</v>
      </c>
      <c r="G154" s="10" t="str">
        <f aca="false">IF(WEEKDAY(A154,2)&gt;5,"Yes","No")</f>
        <v>Yes</v>
      </c>
      <c r="H154" s="10"/>
    </row>
    <row r="155" customFormat="false" ht="15" hidden="false" customHeight="true" outlineLevel="0" collapsed="false">
      <c r="A155" s="11" t="n">
        <v>45445</v>
      </c>
      <c r="B155" s="10" t="n">
        <f aca="false">YEAR(A155)</f>
        <v>2024</v>
      </c>
      <c r="C155" s="10" t="n">
        <f aca="false">MONTH(A155)</f>
        <v>6</v>
      </c>
      <c r="D155" s="10" t="str">
        <f aca="false">TEXT(A155,"mmm")</f>
        <v>Jun</v>
      </c>
      <c r="E155" s="10" t="str">
        <f aca="false">"Q"&amp;ROUNDUP(C155/3,0)</f>
        <v>Q2</v>
      </c>
      <c r="F155" s="10" t="str">
        <f aca="false">TEXT(A155,"ddd")</f>
        <v>Sun</v>
      </c>
      <c r="G155" s="10" t="str">
        <f aca="false">IF(WEEKDAY(A155,2)&gt;5,"Yes","No")</f>
        <v>Yes</v>
      </c>
      <c r="H155" s="10"/>
    </row>
    <row r="156" customFormat="false" ht="15" hidden="false" customHeight="true" outlineLevel="0" collapsed="false">
      <c r="A156" s="11" t="n">
        <v>45446</v>
      </c>
      <c r="B156" s="10" t="n">
        <f aca="false">YEAR(A156)</f>
        <v>2024</v>
      </c>
      <c r="C156" s="10" t="n">
        <f aca="false">MONTH(A156)</f>
        <v>6</v>
      </c>
      <c r="D156" s="10" t="str">
        <f aca="false">TEXT(A156,"mmm")</f>
        <v>Jun</v>
      </c>
      <c r="E156" s="10" t="str">
        <f aca="false">"Q"&amp;ROUNDUP(C156/3,0)</f>
        <v>Q2</v>
      </c>
      <c r="F156" s="10" t="str">
        <f aca="false">TEXT(A156,"ddd")</f>
        <v>Mon</v>
      </c>
      <c r="G156" s="10" t="str">
        <f aca="false">IF(WEEKDAY(A156,2)&gt;5,"Yes","No")</f>
        <v>No</v>
      </c>
      <c r="H156" s="10"/>
    </row>
    <row r="157" customFormat="false" ht="15" hidden="false" customHeight="true" outlineLevel="0" collapsed="false">
      <c r="A157" s="11" t="n">
        <v>45447</v>
      </c>
      <c r="B157" s="10" t="n">
        <f aca="false">YEAR(A157)</f>
        <v>2024</v>
      </c>
      <c r="C157" s="10" t="n">
        <f aca="false">MONTH(A157)</f>
        <v>6</v>
      </c>
      <c r="D157" s="10" t="str">
        <f aca="false">TEXT(A157,"mmm")</f>
        <v>Jun</v>
      </c>
      <c r="E157" s="10" t="str">
        <f aca="false">"Q"&amp;ROUNDUP(C157/3,0)</f>
        <v>Q2</v>
      </c>
      <c r="F157" s="10" t="str">
        <f aca="false">TEXT(A157,"ddd")</f>
        <v>Tue</v>
      </c>
      <c r="G157" s="10" t="str">
        <f aca="false">IF(WEEKDAY(A157,2)&gt;5,"Yes","No")</f>
        <v>No</v>
      </c>
      <c r="H157" s="10"/>
    </row>
    <row r="158" customFormat="false" ht="15" hidden="false" customHeight="true" outlineLevel="0" collapsed="false">
      <c r="A158" s="11" t="n">
        <v>45448</v>
      </c>
      <c r="B158" s="10" t="n">
        <f aca="false">YEAR(A158)</f>
        <v>2024</v>
      </c>
      <c r="C158" s="10" t="n">
        <f aca="false">MONTH(A158)</f>
        <v>6</v>
      </c>
      <c r="D158" s="10" t="str">
        <f aca="false">TEXT(A158,"mmm")</f>
        <v>Jun</v>
      </c>
      <c r="E158" s="10" t="str">
        <f aca="false">"Q"&amp;ROUNDUP(C158/3,0)</f>
        <v>Q2</v>
      </c>
      <c r="F158" s="10" t="str">
        <f aca="false">TEXT(A158,"ddd")</f>
        <v>Wed</v>
      </c>
      <c r="G158" s="10" t="str">
        <f aca="false">IF(WEEKDAY(A158,2)&gt;5,"Yes","No")</f>
        <v>No</v>
      </c>
      <c r="H158" s="10"/>
    </row>
    <row r="159" customFormat="false" ht="15" hidden="false" customHeight="true" outlineLevel="0" collapsed="false">
      <c r="A159" s="11" t="n">
        <v>45449</v>
      </c>
      <c r="B159" s="10" t="n">
        <f aca="false">YEAR(A159)</f>
        <v>2024</v>
      </c>
      <c r="C159" s="10" t="n">
        <f aca="false">MONTH(A159)</f>
        <v>6</v>
      </c>
      <c r="D159" s="10" t="str">
        <f aca="false">TEXT(A159,"mmm")</f>
        <v>Jun</v>
      </c>
      <c r="E159" s="10" t="str">
        <f aca="false">"Q"&amp;ROUNDUP(C159/3,0)</f>
        <v>Q2</v>
      </c>
      <c r="F159" s="10" t="str">
        <f aca="false">TEXT(A159,"ddd")</f>
        <v>Thu</v>
      </c>
      <c r="G159" s="10" t="str">
        <f aca="false">IF(WEEKDAY(A159,2)&gt;5,"Yes","No")</f>
        <v>No</v>
      </c>
      <c r="H159" s="10"/>
    </row>
    <row r="160" customFormat="false" ht="15" hidden="false" customHeight="true" outlineLevel="0" collapsed="false">
      <c r="A160" s="11" t="n">
        <v>45450</v>
      </c>
      <c r="B160" s="10" t="n">
        <f aca="false">YEAR(A160)</f>
        <v>2024</v>
      </c>
      <c r="C160" s="10" t="n">
        <f aca="false">MONTH(A160)</f>
        <v>6</v>
      </c>
      <c r="D160" s="10" t="str">
        <f aca="false">TEXT(A160,"mmm")</f>
        <v>Jun</v>
      </c>
      <c r="E160" s="10" t="str">
        <f aca="false">"Q"&amp;ROUNDUP(C160/3,0)</f>
        <v>Q2</v>
      </c>
      <c r="F160" s="10" t="str">
        <f aca="false">TEXT(A160,"ddd")</f>
        <v>Fri</v>
      </c>
      <c r="G160" s="10" t="str">
        <f aca="false">IF(WEEKDAY(A160,2)&gt;5,"Yes","No")</f>
        <v>No</v>
      </c>
      <c r="H160" s="10"/>
    </row>
    <row r="161" customFormat="false" ht="15" hidden="false" customHeight="true" outlineLevel="0" collapsed="false">
      <c r="A161" s="11" t="n">
        <v>45451</v>
      </c>
      <c r="B161" s="10" t="n">
        <f aca="false">YEAR(A161)</f>
        <v>2024</v>
      </c>
      <c r="C161" s="10" t="n">
        <f aca="false">MONTH(A161)</f>
        <v>6</v>
      </c>
      <c r="D161" s="10" t="str">
        <f aca="false">TEXT(A161,"mmm")</f>
        <v>Jun</v>
      </c>
      <c r="E161" s="10" t="str">
        <f aca="false">"Q"&amp;ROUNDUP(C161/3,0)</f>
        <v>Q2</v>
      </c>
      <c r="F161" s="10" t="str">
        <f aca="false">TEXT(A161,"ddd")</f>
        <v>Sat</v>
      </c>
      <c r="G161" s="10" t="str">
        <f aca="false">IF(WEEKDAY(A161,2)&gt;5,"Yes","No")</f>
        <v>Yes</v>
      </c>
      <c r="H161" s="10"/>
    </row>
    <row r="162" customFormat="false" ht="15" hidden="false" customHeight="true" outlineLevel="0" collapsed="false">
      <c r="A162" s="11" t="n">
        <v>45452</v>
      </c>
      <c r="B162" s="10" t="n">
        <f aca="false">YEAR(A162)</f>
        <v>2024</v>
      </c>
      <c r="C162" s="10" t="n">
        <f aca="false">MONTH(A162)</f>
        <v>6</v>
      </c>
      <c r="D162" s="10" t="str">
        <f aca="false">TEXT(A162,"mmm")</f>
        <v>Jun</v>
      </c>
      <c r="E162" s="10" t="str">
        <f aca="false">"Q"&amp;ROUNDUP(C162/3,0)</f>
        <v>Q2</v>
      </c>
      <c r="F162" s="10" t="str">
        <f aca="false">TEXT(A162,"ddd")</f>
        <v>Sun</v>
      </c>
      <c r="G162" s="10" t="str">
        <f aca="false">IF(WEEKDAY(A162,2)&gt;5,"Yes","No")</f>
        <v>Yes</v>
      </c>
      <c r="H162" s="10"/>
    </row>
    <row r="163" customFormat="false" ht="15" hidden="false" customHeight="true" outlineLevel="0" collapsed="false">
      <c r="A163" s="11" t="n">
        <v>45453</v>
      </c>
      <c r="B163" s="10" t="n">
        <f aca="false">YEAR(A163)</f>
        <v>2024</v>
      </c>
      <c r="C163" s="10" t="n">
        <f aca="false">MONTH(A163)</f>
        <v>6</v>
      </c>
      <c r="D163" s="10" t="str">
        <f aca="false">TEXT(A163,"mmm")</f>
        <v>Jun</v>
      </c>
      <c r="E163" s="10" t="str">
        <f aca="false">"Q"&amp;ROUNDUP(C163/3,0)</f>
        <v>Q2</v>
      </c>
      <c r="F163" s="10" t="str">
        <f aca="false">TEXT(A163,"ddd")</f>
        <v>Mon</v>
      </c>
      <c r="G163" s="10" t="str">
        <f aca="false">IF(WEEKDAY(A163,2)&gt;5,"Yes","No")</f>
        <v>No</v>
      </c>
      <c r="H163" s="10"/>
    </row>
    <row r="164" customFormat="false" ht="15" hidden="false" customHeight="true" outlineLevel="0" collapsed="false">
      <c r="A164" s="11" t="n">
        <v>45454</v>
      </c>
      <c r="B164" s="10" t="n">
        <f aca="false">YEAR(A164)</f>
        <v>2024</v>
      </c>
      <c r="C164" s="10" t="n">
        <f aca="false">MONTH(A164)</f>
        <v>6</v>
      </c>
      <c r="D164" s="10" t="str">
        <f aca="false">TEXT(A164,"mmm")</f>
        <v>Jun</v>
      </c>
      <c r="E164" s="10" t="str">
        <f aca="false">"Q"&amp;ROUNDUP(C164/3,0)</f>
        <v>Q2</v>
      </c>
      <c r="F164" s="10" t="str">
        <f aca="false">TEXT(A164,"ddd")</f>
        <v>Tue</v>
      </c>
      <c r="G164" s="10" t="str">
        <f aca="false">IF(WEEKDAY(A164,2)&gt;5,"Yes","No")</f>
        <v>No</v>
      </c>
      <c r="H164" s="10"/>
    </row>
    <row r="165" customFormat="false" ht="15" hidden="false" customHeight="true" outlineLevel="0" collapsed="false">
      <c r="A165" s="11" t="n">
        <v>45455</v>
      </c>
      <c r="B165" s="10" t="n">
        <f aca="false">YEAR(A165)</f>
        <v>2024</v>
      </c>
      <c r="C165" s="10" t="n">
        <f aca="false">MONTH(A165)</f>
        <v>6</v>
      </c>
      <c r="D165" s="10" t="str">
        <f aca="false">TEXT(A165,"mmm")</f>
        <v>Jun</v>
      </c>
      <c r="E165" s="10" t="str">
        <f aca="false">"Q"&amp;ROUNDUP(C165/3,0)</f>
        <v>Q2</v>
      </c>
      <c r="F165" s="10" t="str">
        <f aca="false">TEXT(A165,"ddd")</f>
        <v>Wed</v>
      </c>
      <c r="G165" s="10" t="str">
        <f aca="false">IF(WEEKDAY(A165,2)&gt;5,"Yes","No")</f>
        <v>No</v>
      </c>
      <c r="H165" s="10"/>
    </row>
    <row r="166" customFormat="false" ht="15" hidden="false" customHeight="true" outlineLevel="0" collapsed="false">
      <c r="A166" s="11" t="n">
        <v>45456</v>
      </c>
      <c r="B166" s="10" t="n">
        <f aca="false">YEAR(A166)</f>
        <v>2024</v>
      </c>
      <c r="C166" s="10" t="n">
        <f aca="false">MONTH(A166)</f>
        <v>6</v>
      </c>
      <c r="D166" s="10" t="str">
        <f aca="false">TEXT(A166,"mmm")</f>
        <v>Jun</v>
      </c>
      <c r="E166" s="10" t="str">
        <f aca="false">"Q"&amp;ROUNDUP(C166/3,0)</f>
        <v>Q2</v>
      </c>
      <c r="F166" s="10" t="str">
        <f aca="false">TEXT(A166,"ddd")</f>
        <v>Thu</v>
      </c>
      <c r="G166" s="10" t="str">
        <f aca="false">IF(WEEKDAY(A166,2)&gt;5,"Yes","No")</f>
        <v>No</v>
      </c>
      <c r="H166" s="10"/>
    </row>
    <row r="167" customFormat="false" ht="15" hidden="false" customHeight="true" outlineLevel="0" collapsed="false">
      <c r="A167" s="11" t="n">
        <v>45457</v>
      </c>
      <c r="B167" s="10" t="n">
        <f aca="false">YEAR(A167)</f>
        <v>2024</v>
      </c>
      <c r="C167" s="10" t="n">
        <f aca="false">MONTH(A167)</f>
        <v>6</v>
      </c>
      <c r="D167" s="10" t="str">
        <f aca="false">TEXT(A167,"mmm")</f>
        <v>Jun</v>
      </c>
      <c r="E167" s="10" t="str">
        <f aca="false">"Q"&amp;ROUNDUP(C167/3,0)</f>
        <v>Q2</v>
      </c>
      <c r="F167" s="10" t="str">
        <f aca="false">TEXT(A167,"ddd")</f>
        <v>Fri</v>
      </c>
      <c r="G167" s="10" t="str">
        <f aca="false">IF(WEEKDAY(A167,2)&gt;5,"Yes","No")</f>
        <v>No</v>
      </c>
      <c r="H167" s="10"/>
    </row>
    <row r="168" customFormat="false" ht="15" hidden="false" customHeight="true" outlineLevel="0" collapsed="false">
      <c r="A168" s="11" t="n">
        <v>45458</v>
      </c>
      <c r="B168" s="10" t="n">
        <f aca="false">YEAR(A168)</f>
        <v>2024</v>
      </c>
      <c r="C168" s="10" t="n">
        <f aca="false">MONTH(A168)</f>
        <v>6</v>
      </c>
      <c r="D168" s="10" t="str">
        <f aca="false">TEXT(A168,"mmm")</f>
        <v>Jun</v>
      </c>
      <c r="E168" s="10" t="str">
        <f aca="false">"Q"&amp;ROUNDUP(C168/3,0)</f>
        <v>Q2</v>
      </c>
      <c r="F168" s="10" t="str">
        <f aca="false">TEXT(A168,"ddd")</f>
        <v>Sat</v>
      </c>
      <c r="G168" s="10" t="str">
        <f aca="false">IF(WEEKDAY(A168,2)&gt;5,"Yes","No")</f>
        <v>Yes</v>
      </c>
      <c r="H168" s="10"/>
    </row>
    <row r="169" customFormat="false" ht="15" hidden="false" customHeight="true" outlineLevel="0" collapsed="false">
      <c r="A169" s="11" t="n">
        <v>45459</v>
      </c>
      <c r="B169" s="10" t="n">
        <f aca="false">YEAR(A169)</f>
        <v>2024</v>
      </c>
      <c r="C169" s="10" t="n">
        <f aca="false">MONTH(A169)</f>
        <v>6</v>
      </c>
      <c r="D169" s="10" t="str">
        <f aca="false">TEXT(A169,"mmm")</f>
        <v>Jun</v>
      </c>
      <c r="E169" s="10" t="str">
        <f aca="false">"Q"&amp;ROUNDUP(C169/3,0)</f>
        <v>Q2</v>
      </c>
      <c r="F169" s="10" t="str">
        <f aca="false">TEXT(A169,"ddd")</f>
        <v>Sun</v>
      </c>
      <c r="G169" s="10" t="str">
        <f aca="false">IF(WEEKDAY(A169,2)&gt;5,"Yes","No")</f>
        <v>Yes</v>
      </c>
      <c r="H169" s="10" t="s">
        <v>998</v>
      </c>
    </row>
    <row r="170" customFormat="false" ht="15" hidden="false" customHeight="true" outlineLevel="0" collapsed="false">
      <c r="A170" s="11" t="n">
        <v>45460</v>
      </c>
      <c r="B170" s="10" t="n">
        <f aca="false">YEAR(A170)</f>
        <v>2024</v>
      </c>
      <c r="C170" s="10" t="n">
        <f aca="false">MONTH(A170)</f>
        <v>6</v>
      </c>
      <c r="D170" s="10" t="str">
        <f aca="false">TEXT(A170,"mmm")</f>
        <v>Jun</v>
      </c>
      <c r="E170" s="10" t="str">
        <f aca="false">"Q"&amp;ROUNDUP(C170/3,0)</f>
        <v>Q2</v>
      </c>
      <c r="F170" s="10" t="str">
        <f aca="false">TEXT(A170,"ddd")</f>
        <v>Mon</v>
      </c>
      <c r="G170" s="10" t="str">
        <f aca="false">IF(WEEKDAY(A170,2)&gt;5,"Yes","No")</f>
        <v>No</v>
      </c>
      <c r="H170" s="10" t="s">
        <v>999</v>
      </c>
    </row>
    <row r="171" customFormat="false" ht="15" hidden="false" customHeight="true" outlineLevel="0" collapsed="false">
      <c r="A171" s="11" t="n">
        <v>45461</v>
      </c>
      <c r="B171" s="10" t="n">
        <f aca="false">YEAR(A171)</f>
        <v>2024</v>
      </c>
      <c r="C171" s="10" t="n">
        <f aca="false">MONTH(A171)</f>
        <v>6</v>
      </c>
      <c r="D171" s="10" t="str">
        <f aca="false">TEXT(A171,"mmm")</f>
        <v>Jun</v>
      </c>
      <c r="E171" s="10" t="str">
        <f aca="false">"Q"&amp;ROUNDUP(C171/3,0)</f>
        <v>Q2</v>
      </c>
      <c r="F171" s="10" t="str">
        <f aca="false">TEXT(A171,"ddd")</f>
        <v>Tue</v>
      </c>
      <c r="G171" s="10" t="str">
        <f aca="false">IF(WEEKDAY(A171,2)&gt;5,"Yes","No")</f>
        <v>No</v>
      </c>
      <c r="H171" s="10"/>
    </row>
    <row r="172" customFormat="false" ht="15" hidden="false" customHeight="true" outlineLevel="0" collapsed="false">
      <c r="A172" s="11" t="n">
        <v>45462</v>
      </c>
      <c r="B172" s="10" t="n">
        <f aca="false">YEAR(A172)</f>
        <v>2024</v>
      </c>
      <c r="C172" s="10" t="n">
        <f aca="false">MONTH(A172)</f>
        <v>6</v>
      </c>
      <c r="D172" s="10" t="str">
        <f aca="false">TEXT(A172,"mmm")</f>
        <v>Jun</v>
      </c>
      <c r="E172" s="10" t="str">
        <f aca="false">"Q"&amp;ROUNDUP(C172/3,0)</f>
        <v>Q2</v>
      </c>
      <c r="F172" s="10" t="str">
        <f aca="false">TEXT(A172,"ddd")</f>
        <v>Wed</v>
      </c>
      <c r="G172" s="10" t="str">
        <f aca="false">IF(WEEKDAY(A172,2)&gt;5,"Yes","No")</f>
        <v>No</v>
      </c>
      <c r="H172" s="10"/>
    </row>
    <row r="173" customFormat="false" ht="15" hidden="false" customHeight="true" outlineLevel="0" collapsed="false">
      <c r="A173" s="11" t="n">
        <v>45463</v>
      </c>
      <c r="B173" s="10" t="n">
        <f aca="false">YEAR(A173)</f>
        <v>2024</v>
      </c>
      <c r="C173" s="10" t="n">
        <f aca="false">MONTH(A173)</f>
        <v>6</v>
      </c>
      <c r="D173" s="10" t="str">
        <f aca="false">TEXT(A173,"mmm")</f>
        <v>Jun</v>
      </c>
      <c r="E173" s="10" t="str">
        <f aca="false">"Q"&amp;ROUNDUP(C173/3,0)</f>
        <v>Q2</v>
      </c>
      <c r="F173" s="10" t="str">
        <f aca="false">TEXT(A173,"ddd")</f>
        <v>Thu</v>
      </c>
      <c r="G173" s="10" t="str">
        <f aca="false">IF(WEEKDAY(A173,2)&gt;5,"Yes","No")</f>
        <v>No</v>
      </c>
      <c r="H173" s="10"/>
    </row>
    <row r="174" customFormat="false" ht="15" hidden="false" customHeight="true" outlineLevel="0" collapsed="false">
      <c r="A174" s="11" t="n">
        <v>45464</v>
      </c>
      <c r="B174" s="10" t="n">
        <f aca="false">YEAR(A174)</f>
        <v>2024</v>
      </c>
      <c r="C174" s="10" t="n">
        <f aca="false">MONTH(A174)</f>
        <v>6</v>
      </c>
      <c r="D174" s="10" t="str">
        <f aca="false">TEXT(A174,"mmm")</f>
        <v>Jun</v>
      </c>
      <c r="E174" s="10" t="str">
        <f aca="false">"Q"&amp;ROUNDUP(C174/3,0)</f>
        <v>Q2</v>
      </c>
      <c r="F174" s="10" t="str">
        <f aca="false">TEXT(A174,"ddd")</f>
        <v>Fri</v>
      </c>
      <c r="G174" s="10" t="str">
        <f aca="false">IF(WEEKDAY(A174,2)&gt;5,"Yes","No")</f>
        <v>No</v>
      </c>
      <c r="H174" s="10"/>
    </row>
    <row r="175" customFormat="false" ht="15" hidden="false" customHeight="true" outlineLevel="0" collapsed="false">
      <c r="A175" s="11" t="n">
        <v>45465</v>
      </c>
      <c r="B175" s="10" t="n">
        <f aca="false">YEAR(A175)</f>
        <v>2024</v>
      </c>
      <c r="C175" s="10" t="n">
        <f aca="false">MONTH(A175)</f>
        <v>6</v>
      </c>
      <c r="D175" s="10" t="str">
        <f aca="false">TEXT(A175,"mmm")</f>
        <v>Jun</v>
      </c>
      <c r="E175" s="10" t="str">
        <f aca="false">"Q"&amp;ROUNDUP(C175/3,0)</f>
        <v>Q2</v>
      </c>
      <c r="F175" s="10" t="str">
        <f aca="false">TEXT(A175,"ddd")</f>
        <v>Sat</v>
      </c>
      <c r="G175" s="10" t="str">
        <f aca="false">IF(WEEKDAY(A175,2)&gt;5,"Yes","No")</f>
        <v>Yes</v>
      </c>
      <c r="H175" s="10"/>
    </row>
    <row r="176" customFormat="false" ht="15" hidden="false" customHeight="true" outlineLevel="0" collapsed="false">
      <c r="A176" s="11" t="n">
        <v>45466</v>
      </c>
      <c r="B176" s="10" t="n">
        <f aca="false">YEAR(A176)</f>
        <v>2024</v>
      </c>
      <c r="C176" s="10" t="n">
        <f aca="false">MONTH(A176)</f>
        <v>6</v>
      </c>
      <c r="D176" s="10" t="str">
        <f aca="false">TEXT(A176,"mmm")</f>
        <v>Jun</v>
      </c>
      <c r="E176" s="10" t="str">
        <f aca="false">"Q"&amp;ROUNDUP(C176/3,0)</f>
        <v>Q2</v>
      </c>
      <c r="F176" s="10" t="str">
        <f aca="false">TEXT(A176,"ddd")</f>
        <v>Sun</v>
      </c>
      <c r="G176" s="10" t="str">
        <f aca="false">IF(WEEKDAY(A176,2)&gt;5,"Yes","No")</f>
        <v>Yes</v>
      </c>
      <c r="H176" s="10"/>
    </row>
    <row r="177" customFormat="false" ht="15" hidden="false" customHeight="true" outlineLevel="0" collapsed="false">
      <c r="A177" s="11" t="n">
        <v>45467</v>
      </c>
      <c r="B177" s="10" t="n">
        <f aca="false">YEAR(A177)</f>
        <v>2024</v>
      </c>
      <c r="C177" s="10" t="n">
        <f aca="false">MONTH(A177)</f>
        <v>6</v>
      </c>
      <c r="D177" s="10" t="str">
        <f aca="false">TEXT(A177,"mmm")</f>
        <v>Jun</v>
      </c>
      <c r="E177" s="10" t="str">
        <f aca="false">"Q"&amp;ROUNDUP(C177/3,0)</f>
        <v>Q2</v>
      </c>
      <c r="F177" s="10" t="str">
        <f aca="false">TEXT(A177,"ddd")</f>
        <v>Mon</v>
      </c>
      <c r="G177" s="10" t="str">
        <f aca="false">IF(WEEKDAY(A177,2)&gt;5,"Yes","No")</f>
        <v>No</v>
      </c>
      <c r="H177" s="10"/>
    </row>
    <row r="178" customFormat="false" ht="15" hidden="false" customHeight="true" outlineLevel="0" collapsed="false">
      <c r="A178" s="11" t="n">
        <v>45468</v>
      </c>
      <c r="B178" s="10" t="n">
        <f aca="false">YEAR(A178)</f>
        <v>2024</v>
      </c>
      <c r="C178" s="10" t="n">
        <f aca="false">MONTH(A178)</f>
        <v>6</v>
      </c>
      <c r="D178" s="10" t="str">
        <f aca="false">TEXT(A178,"mmm")</f>
        <v>Jun</v>
      </c>
      <c r="E178" s="10" t="str">
        <f aca="false">"Q"&amp;ROUNDUP(C178/3,0)</f>
        <v>Q2</v>
      </c>
      <c r="F178" s="10" t="str">
        <f aca="false">TEXT(A178,"ddd")</f>
        <v>Tue</v>
      </c>
      <c r="G178" s="10" t="str">
        <f aca="false">IF(WEEKDAY(A178,2)&gt;5,"Yes","No")</f>
        <v>No</v>
      </c>
      <c r="H178" s="10"/>
    </row>
    <row r="179" customFormat="false" ht="15" hidden="false" customHeight="true" outlineLevel="0" collapsed="false">
      <c r="A179" s="11" t="n">
        <v>45469</v>
      </c>
      <c r="B179" s="10" t="n">
        <f aca="false">YEAR(A179)</f>
        <v>2024</v>
      </c>
      <c r="C179" s="10" t="n">
        <f aca="false">MONTH(A179)</f>
        <v>6</v>
      </c>
      <c r="D179" s="10" t="str">
        <f aca="false">TEXT(A179,"mmm")</f>
        <v>Jun</v>
      </c>
      <c r="E179" s="10" t="str">
        <f aca="false">"Q"&amp;ROUNDUP(C179/3,0)</f>
        <v>Q2</v>
      </c>
      <c r="F179" s="10" t="str">
        <f aca="false">TEXT(A179,"ddd")</f>
        <v>Wed</v>
      </c>
      <c r="G179" s="10" t="str">
        <f aca="false">IF(WEEKDAY(A179,2)&gt;5,"Yes","No")</f>
        <v>No</v>
      </c>
      <c r="H179" s="10"/>
    </row>
    <row r="180" customFormat="false" ht="15" hidden="false" customHeight="true" outlineLevel="0" collapsed="false">
      <c r="A180" s="11" t="n">
        <v>45470</v>
      </c>
      <c r="B180" s="10" t="n">
        <f aca="false">YEAR(A180)</f>
        <v>2024</v>
      </c>
      <c r="C180" s="10" t="n">
        <f aca="false">MONTH(A180)</f>
        <v>6</v>
      </c>
      <c r="D180" s="10" t="str">
        <f aca="false">TEXT(A180,"mmm")</f>
        <v>Jun</v>
      </c>
      <c r="E180" s="10" t="str">
        <f aca="false">"Q"&amp;ROUNDUP(C180/3,0)</f>
        <v>Q2</v>
      </c>
      <c r="F180" s="10" t="str">
        <f aca="false">TEXT(A180,"ddd")</f>
        <v>Thu</v>
      </c>
      <c r="G180" s="10" t="str">
        <f aca="false">IF(WEEKDAY(A180,2)&gt;5,"Yes","No")</f>
        <v>No</v>
      </c>
      <c r="H180" s="10"/>
    </row>
    <row r="181" customFormat="false" ht="15" hidden="false" customHeight="true" outlineLevel="0" collapsed="false">
      <c r="A181" s="11" t="n">
        <v>45471</v>
      </c>
      <c r="B181" s="10" t="n">
        <f aca="false">YEAR(A181)</f>
        <v>2024</v>
      </c>
      <c r="C181" s="10" t="n">
        <f aca="false">MONTH(A181)</f>
        <v>6</v>
      </c>
      <c r="D181" s="10" t="str">
        <f aca="false">TEXT(A181,"mmm")</f>
        <v>Jun</v>
      </c>
      <c r="E181" s="10" t="str">
        <f aca="false">"Q"&amp;ROUNDUP(C181/3,0)</f>
        <v>Q2</v>
      </c>
      <c r="F181" s="10" t="str">
        <f aca="false">TEXT(A181,"ddd")</f>
        <v>Fri</v>
      </c>
      <c r="G181" s="10" t="str">
        <f aca="false">IF(WEEKDAY(A181,2)&gt;5,"Yes","No")</f>
        <v>No</v>
      </c>
      <c r="H181" s="10"/>
    </row>
    <row r="182" customFormat="false" ht="15" hidden="false" customHeight="true" outlineLevel="0" collapsed="false">
      <c r="A182" s="11" t="n">
        <v>45472</v>
      </c>
      <c r="B182" s="10" t="n">
        <f aca="false">YEAR(A182)</f>
        <v>2024</v>
      </c>
      <c r="C182" s="10" t="n">
        <f aca="false">MONTH(A182)</f>
        <v>6</v>
      </c>
      <c r="D182" s="10" t="str">
        <f aca="false">TEXT(A182,"mmm")</f>
        <v>Jun</v>
      </c>
      <c r="E182" s="10" t="str">
        <f aca="false">"Q"&amp;ROUNDUP(C182/3,0)</f>
        <v>Q2</v>
      </c>
      <c r="F182" s="10" t="str">
        <f aca="false">TEXT(A182,"ddd")</f>
        <v>Sat</v>
      </c>
      <c r="G182" s="10" t="str">
        <f aca="false">IF(WEEKDAY(A182,2)&gt;5,"Yes","No")</f>
        <v>Yes</v>
      </c>
      <c r="H182" s="10"/>
    </row>
    <row r="183" customFormat="false" ht="15" hidden="false" customHeight="true" outlineLevel="0" collapsed="false">
      <c r="A183" s="11" t="n">
        <v>45473</v>
      </c>
      <c r="B183" s="10" t="n">
        <f aca="false">YEAR(A183)</f>
        <v>2024</v>
      </c>
      <c r="C183" s="10" t="n">
        <f aca="false">MONTH(A183)</f>
        <v>6</v>
      </c>
      <c r="D183" s="10" t="str">
        <f aca="false">TEXT(A183,"mmm")</f>
        <v>Jun</v>
      </c>
      <c r="E183" s="10" t="str">
        <f aca="false">"Q"&amp;ROUNDUP(C183/3,0)</f>
        <v>Q2</v>
      </c>
      <c r="F183" s="10" t="str">
        <f aca="false">TEXT(A183,"ddd")</f>
        <v>Sun</v>
      </c>
      <c r="G183" s="10" t="str">
        <f aca="false">IF(WEEKDAY(A183,2)&gt;5,"Yes","No")</f>
        <v>Yes</v>
      </c>
      <c r="H183" s="10"/>
    </row>
    <row r="184" customFormat="false" ht="15" hidden="false" customHeight="true" outlineLevel="0" collapsed="false">
      <c r="A184" s="11" t="n">
        <v>45474</v>
      </c>
      <c r="B184" s="10" t="n">
        <f aca="false">YEAR(A184)</f>
        <v>2024</v>
      </c>
      <c r="C184" s="10" t="n">
        <f aca="false">MONTH(A184)</f>
        <v>7</v>
      </c>
      <c r="D184" s="10" t="str">
        <f aca="false">TEXT(A184,"mmm")</f>
        <v>Jul</v>
      </c>
      <c r="E184" s="10" t="str">
        <f aca="false">"Q"&amp;ROUNDUP(C184/3,0)</f>
        <v>Q3</v>
      </c>
      <c r="F184" s="10" t="str">
        <f aca="false">TEXT(A184,"ddd")</f>
        <v>Mon</v>
      </c>
      <c r="G184" s="10" t="str">
        <f aca="false">IF(WEEKDAY(A184,2)&gt;5,"Yes","No")</f>
        <v>No</v>
      </c>
      <c r="H184" s="10"/>
    </row>
    <row r="185" customFormat="false" ht="15" hidden="false" customHeight="true" outlineLevel="0" collapsed="false">
      <c r="A185" s="11" t="n">
        <v>45475</v>
      </c>
      <c r="B185" s="10" t="n">
        <f aca="false">YEAR(A185)</f>
        <v>2024</v>
      </c>
      <c r="C185" s="10" t="n">
        <f aca="false">MONTH(A185)</f>
        <v>7</v>
      </c>
      <c r="D185" s="10" t="str">
        <f aca="false">TEXT(A185,"mmm")</f>
        <v>Jul</v>
      </c>
      <c r="E185" s="10" t="str">
        <f aca="false">"Q"&amp;ROUNDUP(C185/3,0)</f>
        <v>Q3</v>
      </c>
      <c r="F185" s="10" t="str">
        <f aca="false">TEXT(A185,"ddd")</f>
        <v>Tue</v>
      </c>
      <c r="G185" s="10" t="str">
        <f aca="false">IF(WEEKDAY(A185,2)&gt;5,"Yes","No")</f>
        <v>No</v>
      </c>
      <c r="H185" s="10"/>
    </row>
    <row r="186" customFormat="false" ht="15" hidden="false" customHeight="true" outlineLevel="0" collapsed="false">
      <c r="A186" s="11" t="n">
        <v>45476</v>
      </c>
      <c r="B186" s="10" t="n">
        <f aca="false">YEAR(A186)</f>
        <v>2024</v>
      </c>
      <c r="C186" s="10" t="n">
        <f aca="false">MONTH(A186)</f>
        <v>7</v>
      </c>
      <c r="D186" s="10" t="str">
        <f aca="false">TEXT(A186,"mmm")</f>
        <v>Jul</v>
      </c>
      <c r="E186" s="10" t="str">
        <f aca="false">"Q"&amp;ROUNDUP(C186/3,0)</f>
        <v>Q3</v>
      </c>
      <c r="F186" s="10" t="str">
        <f aca="false">TEXT(A186,"ddd")</f>
        <v>Wed</v>
      </c>
      <c r="G186" s="10" t="str">
        <f aca="false">IF(WEEKDAY(A186,2)&gt;5,"Yes","No")</f>
        <v>No</v>
      </c>
      <c r="H186" s="10"/>
    </row>
    <row r="187" customFormat="false" ht="15" hidden="false" customHeight="true" outlineLevel="0" collapsed="false">
      <c r="A187" s="11" t="n">
        <v>45477</v>
      </c>
      <c r="B187" s="10" t="n">
        <f aca="false">YEAR(A187)</f>
        <v>2024</v>
      </c>
      <c r="C187" s="10" t="n">
        <f aca="false">MONTH(A187)</f>
        <v>7</v>
      </c>
      <c r="D187" s="10" t="str">
        <f aca="false">TEXT(A187,"mmm")</f>
        <v>Jul</v>
      </c>
      <c r="E187" s="10" t="str">
        <f aca="false">"Q"&amp;ROUNDUP(C187/3,0)</f>
        <v>Q3</v>
      </c>
      <c r="F187" s="10" t="str">
        <f aca="false">TEXT(A187,"ddd")</f>
        <v>Thu</v>
      </c>
      <c r="G187" s="10" t="str">
        <f aca="false">IF(WEEKDAY(A187,2)&gt;5,"Yes","No")</f>
        <v>No</v>
      </c>
      <c r="H187" s="10"/>
    </row>
    <row r="188" customFormat="false" ht="15" hidden="false" customHeight="true" outlineLevel="0" collapsed="false">
      <c r="A188" s="11" t="n">
        <v>45478</v>
      </c>
      <c r="B188" s="10" t="n">
        <f aca="false">YEAR(A188)</f>
        <v>2024</v>
      </c>
      <c r="C188" s="10" t="n">
        <f aca="false">MONTH(A188)</f>
        <v>7</v>
      </c>
      <c r="D188" s="10" t="str">
        <f aca="false">TEXT(A188,"mmm")</f>
        <v>Jul</v>
      </c>
      <c r="E188" s="10" t="str">
        <f aca="false">"Q"&amp;ROUNDUP(C188/3,0)</f>
        <v>Q3</v>
      </c>
      <c r="F188" s="10" t="str">
        <f aca="false">TEXT(A188,"ddd")</f>
        <v>Fri</v>
      </c>
      <c r="G188" s="10" t="str">
        <f aca="false">IF(WEEKDAY(A188,2)&gt;5,"Yes","No")</f>
        <v>No</v>
      </c>
      <c r="H188" s="10"/>
    </row>
    <row r="189" customFormat="false" ht="15" hidden="false" customHeight="true" outlineLevel="0" collapsed="false">
      <c r="A189" s="11" t="n">
        <v>45479</v>
      </c>
      <c r="B189" s="10" t="n">
        <f aca="false">YEAR(A189)</f>
        <v>2024</v>
      </c>
      <c r="C189" s="10" t="n">
        <f aca="false">MONTH(A189)</f>
        <v>7</v>
      </c>
      <c r="D189" s="10" t="str">
        <f aca="false">TEXT(A189,"mmm")</f>
        <v>Jul</v>
      </c>
      <c r="E189" s="10" t="str">
        <f aca="false">"Q"&amp;ROUNDUP(C189/3,0)</f>
        <v>Q3</v>
      </c>
      <c r="F189" s="10" t="str">
        <f aca="false">TEXT(A189,"ddd")</f>
        <v>Sat</v>
      </c>
      <c r="G189" s="10" t="str">
        <f aca="false">IF(WEEKDAY(A189,2)&gt;5,"Yes","No")</f>
        <v>Yes</v>
      </c>
      <c r="H189" s="10"/>
    </row>
    <row r="190" customFormat="false" ht="15" hidden="false" customHeight="true" outlineLevel="0" collapsed="false">
      <c r="A190" s="11" t="n">
        <v>45480</v>
      </c>
      <c r="B190" s="10" t="n">
        <f aca="false">YEAR(A190)</f>
        <v>2024</v>
      </c>
      <c r="C190" s="10" t="n">
        <f aca="false">MONTH(A190)</f>
        <v>7</v>
      </c>
      <c r="D190" s="10" t="str">
        <f aca="false">TEXT(A190,"mmm")</f>
        <v>Jul</v>
      </c>
      <c r="E190" s="10" t="str">
        <f aca="false">"Q"&amp;ROUNDUP(C190/3,0)</f>
        <v>Q3</v>
      </c>
      <c r="F190" s="10" t="str">
        <f aca="false">TEXT(A190,"ddd")</f>
        <v>Sun</v>
      </c>
      <c r="G190" s="10" t="str">
        <f aca="false">IF(WEEKDAY(A190,2)&gt;5,"Yes","No")</f>
        <v>Yes</v>
      </c>
      <c r="H190" s="10"/>
    </row>
    <row r="191" customFormat="false" ht="15" hidden="false" customHeight="true" outlineLevel="0" collapsed="false">
      <c r="A191" s="11" t="n">
        <v>45481</v>
      </c>
      <c r="B191" s="10" t="n">
        <f aca="false">YEAR(A191)</f>
        <v>2024</v>
      </c>
      <c r="C191" s="10" t="n">
        <f aca="false">MONTH(A191)</f>
        <v>7</v>
      </c>
      <c r="D191" s="10" t="str">
        <f aca="false">TEXT(A191,"mmm")</f>
        <v>Jul</v>
      </c>
      <c r="E191" s="10" t="str">
        <f aca="false">"Q"&amp;ROUNDUP(C191/3,0)</f>
        <v>Q3</v>
      </c>
      <c r="F191" s="10" t="str">
        <f aca="false">TEXT(A191,"ddd")</f>
        <v>Mon</v>
      </c>
      <c r="G191" s="10" t="str">
        <f aca="false">IF(WEEKDAY(A191,2)&gt;5,"Yes","No")</f>
        <v>No</v>
      </c>
      <c r="H191" s="10"/>
    </row>
    <row r="192" customFormat="false" ht="15" hidden="false" customHeight="true" outlineLevel="0" collapsed="false">
      <c r="A192" s="11" t="n">
        <v>45482</v>
      </c>
      <c r="B192" s="10" t="n">
        <f aca="false">YEAR(A192)</f>
        <v>2024</v>
      </c>
      <c r="C192" s="10" t="n">
        <f aca="false">MONTH(A192)</f>
        <v>7</v>
      </c>
      <c r="D192" s="10" t="str">
        <f aca="false">TEXT(A192,"mmm")</f>
        <v>Jul</v>
      </c>
      <c r="E192" s="10" t="str">
        <f aca="false">"Q"&amp;ROUNDUP(C192/3,0)</f>
        <v>Q3</v>
      </c>
      <c r="F192" s="10" t="str">
        <f aca="false">TEXT(A192,"ddd")</f>
        <v>Tue</v>
      </c>
      <c r="G192" s="10" t="str">
        <f aca="false">IF(WEEKDAY(A192,2)&gt;5,"Yes","No")</f>
        <v>No</v>
      </c>
      <c r="H192" s="10"/>
    </row>
    <row r="193" customFormat="false" ht="15" hidden="false" customHeight="true" outlineLevel="0" collapsed="false">
      <c r="A193" s="11" t="n">
        <v>45483</v>
      </c>
      <c r="B193" s="10" t="n">
        <f aca="false">YEAR(A193)</f>
        <v>2024</v>
      </c>
      <c r="C193" s="10" t="n">
        <f aca="false">MONTH(A193)</f>
        <v>7</v>
      </c>
      <c r="D193" s="10" t="str">
        <f aca="false">TEXT(A193,"mmm")</f>
        <v>Jul</v>
      </c>
      <c r="E193" s="10" t="str">
        <f aca="false">"Q"&amp;ROUNDUP(C193/3,0)</f>
        <v>Q3</v>
      </c>
      <c r="F193" s="10" t="str">
        <f aca="false">TEXT(A193,"ddd")</f>
        <v>Wed</v>
      </c>
      <c r="G193" s="10" t="str">
        <f aca="false">IF(WEEKDAY(A193,2)&gt;5,"Yes","No")</f>
        <v>No</v>
      </c>
      <c r="H193" s="10"/>
    </row>
    <row r="194" customFormat="false" ht="15" hidden="false" customHeight="true" outlineLevel="0" collapsed="false">
      <c r="A194" s="11" t="n">
        <v>45484</v>
      </c>
      <c r="B194" s="10" t="n">
        <f aca="false">YEAR(A194)</f>
        <v>2024</v>
      </c>
      <c r="C194" s="10" t="n">
        <f aca="false">MONTH(A194)</f>
        <v>7</v>
      </c>
      <c r="D194" s="10" t="str">
        <f aca="false">TEXT(A194,"mmm")</f>
        <v>Jul</v>
      </c>
      <c r="E194" s="10" t="str">
        <f aca="false">"Q"&amp;ROUNDUP(C194/3,0)</f>
        <v>Q3</v>
      </c>
      <c r="F194" s="10" t="str">
        <f aca="false">TEXT(A194,"ddd")</f>
        <v>Thu</v>
      </c>
      <c r="G194" s="10" t="str">
        <f aca="false">IF(WEEKDAY(A194,2)&gt;5,"Yes","No")</f>
        <v>No</v>
      </c>
      <c r="H194" s="10"/>
    </row>
    <row r="195" customFormat="false" ht="15" hidden="false" customHeight="true" outlineLevel="0" collapsed="false">
      <c r="A195" s="11" t="n">
        <v>45485</v>
      </c>
      <c r="B195" s="10" t="n">
        <f aca="false">YEAR(A195)</f>
        <v>2024</v>
      </c>
      <c r="C195" s="10" t="n">
        <f aca="false">MONTH(A195)</f>
        <v>7</v>
      </c>
      <c r="D195" s="10" t="str">
        <f aca="false">TEXT(A195,"mmm")</f>
        <v>Jul</v>
      </c>
      <c r="E195" s="10" t="str">
        <f aca="false">"Q"&amp;ROUNDUP(C195/3,0)</f>
        <v>Q3</v>
      </c>
      <c r="F195" s="10" t="str">
        <f aca="false">TEXT(A195,"ddd")</f>
        <v>Fri</v>
      </c>
      <c r="G195" s="10" t="str">
        <f aca="false">IF(WEEKDAY(A195,2)&gt;5,"Yes","No")</f>
        <v>No</v>
      </c>
      <c r="H195" s="10"/>
    </row>
    <row r="196" customFormat="false" ht="15" hidden="false" customHeight="true" outlineLevel="0" collapsed="false">
      <c r="A196" s="11" t="n">
        <v>45486</v>
      </c>
      <c r="B196" s="10" t="n">
        <f aca="false">YEAR(A196)</f>
        <v>2024</v>
      </c>
      <c r="C196" s="10" t="n">
        <f aca="false">MONTH(A196)</f>
        <v>7</v>
      </c>
      <c r="D196" s="10" t="str">
        <f aca="false">TEXT(A196,"mmm")</f>
        <v>Jul</v>
      </c>
      <c r="E196" s="10" t="str">
        <f aca="false">"Q"&amp;ROUNDUP(C196/3,0)</f>
        <v>Q3</v>
      </c>
      <c r="F196" s="10" t="str">
        <f aca="false">TEXT(A196,"ddd")</f>
        <v>Sat</v>
      </c>
      <c r="G196" s="10" t="str">
        <f aca="false">IF(WEEKDAY(A196,2)&gt;5,"Yes","No")</f>
        <v>Yes</v>
      </c>
      <c r="H196" s="10"/>
    </row>
    <row r="197" customFormat="false" ht="15" hidden="false" customHeight="true" outlineLevel="0" collapsed="false">
      <c r="A197" s="11" t="n">
        <v>45487</v>
      </c>
      <c r="B197" s="10" t="n">
        <f aca="false">YEAR(A197)</f>
        <v>2024</v>
      </c>
      <c r="C197" s="10" t="n">
        <f aca="false">MONTH(A197)</f>
        <v>7</v>
      </c>
      <c r="D197" s="10" t="str">
        <f aca="false">TEXT(A197,"mmm")</f>
        <v>Jul</v>
      </c>
      <c r="E197" s="10" t="str">
        <f aca="false">"Q"&amp;ROUNDUP(C197/3,0)</f>
        <v>Q3</v>
      </c>
      <c r="F197" s="10" t="str">
        <f aca="false">TEXT(A197,"ddd")</f>
        <v>Sun</v>
      </c>
      <c r="G197" s="10" t="str">
        <f aca="false">IF(WEEKDAY(A197,2)&gt;5,"Yes","No")</f>
        <v>Yes</v>
      </c>
      <c r="H197" s="10"/>
    </row>
    <row r="198" customFormat="false" ht="15" hidden="false" customHeight="true" outlineLevel="0" collapsed="false">
      <c r="A198" s="11" t="n">
        <v>45488</v>
      </c>
      <c r="B198" s="10" t="n">
        <f aca="false">YEAR(A198)</f>
        <v>2024</v>
      </c>
      <c r="C198" s="10" t="n">
        <f aca="false">MONTH(A198)</f>
        <v>7</v>
      </c>
      <c r="D198" s="10" t="str">
        <f aca="false">TEXT(A198,"mmm")</f>
        <v>Jul</v>
      </c>
      <c r="E198" s="10" t="str">
        <f aca="false">"Q"&amp;ROUNDUP(C198/3,0)</f>
        <v>Q3</v>
      </c>
      <c r="F198" s="10" t="str">
        <f aca="false">TEXT(A198,"ddd")</f>
        <v>Mon</v>
      </c>
      <c r="G198" s="10" t="str">
        <f aca="false">IF(WEEKDAY(A198,2)&gt;5,"Yes","No")</f>
        <v>No</v>
      </c>
      <c r="H198" s="10"/>
    </row>
    <row r="199" customFormat="false" ht="15" hidden="false" customHeight="true" outlineLevel="0" collapsed="false">
      <c r="A199" s="11" t="n">
        <v>45489</v>
      </c>
      <c r="B199" s="10" t="n">
        <f aca="false">YEAR(A199)</f>
        <v>2024</v>
      </c>
      <c r="C199" s="10" t="n">
        <f aca="false">MONTH(A199)</f>
        <v>7</v>
      </c>
      <c r="D199" s="10" t="str">
        <f aca="false">TEXT(A199,"mmm")</f>
        <v>Jul</v>
      </c>
      <c r="E199" s="10" t="str">
        <f aca="false">"Q"&amp;ROUNDUP(C199/3,0)</f>
        <v>Q3</v>
      </c>
      <c r="F199" s="10" t="str">
        <f aca="false">TEXT(A199,"ddd")</f>
        <v>Tue</v>
      </c>
      <c r="G199" s="10" t="str">
        <f aca="false">IF(WEEKDAY(A199,2)&gt;5,"Yes","No")</f>
        <v>No</v>
      </c>
      <c r="H199" s="10"/>
    </row>
    <row r="200" customFormat="false" ht="15" hidden="false" customHeight="true" outlineLevel="0" collapsed="false">
      <c r="A200" s="11" t="n">
        <v>45490</v>
      </c>
      <c r="B200" s="10" t="n">
        <f aca="false">YEAR(A200)</f>
        <v>2024</v>
      </c>
      <c r="C200" s="10" t="n">
        <f aca="false">MONTH(A200)</f>
        <v>7</v>
      </c>
      <c r="D200" s="10" t="str">
        <f aca="false">TEXT(A200,"mmm")</f>
        <v>Jul</v>
      </c>
      <c r="E200" s="10" t="str">
        <f aca="false">"Q"&amp;ROUNDUP(C200/3,0)</f>
        <v>Q3</v>
      </c>
      <c r="F200" s="10" t="str">
        <f aca="false">TEXT(A200,"ddd")</f>
        <v>Wed</v>
      </c>
      <c r="G200" s="10" t="str">
        <f aca="false">IF(WEEKDAY(A200,2)&gt;5,"Yes","No")</f>
        <v>No</v>
      </c>
      <c r="H200" s="10"/>
    </row>
    <row r="201" customFormat="false" ht="15" hidden="false" customHeight="true" outlineLevel="0" collapsed="false">
      <c r="A201" s="11" t="n">
        <v>45491</v>
      </c>
      <c r="B201" s="10" t="n">
        <f aca="false">YEAR(A201)</f>
        <v>2024</v>
      </c>
      <c r="C201" s="10" t="n">
        <f aca="false">MONTH(A201)</f>
        <v>7</v>
      </c>
      <c r="D201" s="10" t="str">
        <f aca="false">TEXT(A201,"mmm")</f>
        <v>Jul</v>
      </c>
      <c r="E201" s="10" t="str">
        <f aca="false">"Q"&amp;ROUNDUP(C201/3,0)</f>
        <v>Q3</v>
      </c>
      <c r="F201" s="10" t="str">
        <f aca="false">TEXT(A201,"ddd")</f>
        <v>Thu</v>
      </c>
      <c r="G201" s="10" t="str">
        <f aca="false">IF(WEEKDAY(A201,2)&gt;5,"Yes","No")</f>
        <v>No</v>
      </c>
      <c r="H201" s="10"/>
    </row>
    <row r="202" customFormat="false" ht="15" hidden="false" customHeight="true" outlineLevel="0" collapsed="false">
      <c r="A202" s="11" t="n">
        <v>45492</v>
      </c>
      <c r="B202" s="10" t="n">
        <f aca="false">YEAR(A202)</f>
        <v>2024</v>
      </c>
      <c r="C202" s="10" t="n">
        <f aca="false">MONTH(A202)</f>
        <v>7</v>
      </c>
      <c r="D202" s="10" t="str">
        <f aca="false">TEXT(A202,"mmm")</f>
        <v>Jul</v>
      </c>
      <c r="E202" s="10" t="str">
        <f aca="false">"Q"&amp;ROUNDUP(C202/3,0)</f>
        <v>Q3</v>
      </c>
      <c r="F202" s="10" t="str">
        <f aca="false">TEXT(A202,"ddd")</f>
        <v>Fri</v>
      </c>
      <c r="G202" s="10" t="str">
        <f aca="false">IF(WEEKDAY(A202,2)&gt;5,"Yes","No")</f>
        <v>No</v>
      </c>
      <c r="H202" s="10"/>
    </row>
    <row r="203" customFormat="false" ht="15" hidden="false" customHeight="true" outlineLevel="0" collapsed="false">
      <c r="A203" s="11" t="n">
        <v>45493</v>
      </c>
      <c r="B203" s="10" t="n">
        <f aca="false">YEAR(A203)</f>
        <v>2024</v>
      </c>
      <c r="C203" s="10" t="n">
        <f aca="false">MONTH(A203)</f>
        <v>7</v>
      </c>
      <c r="D203" s="10" t="str">
        <f aca="false">TEXT(A203,"mmm")</f>
        <v>Jul</v>
      </c>
      <c r="E203" s="10" t="str">
        <f aca="false">"Q"&amp;ROUNDUP(C203/3,0)</f>
        <v>Q3</v>
      </c>
      <c r="F203" s="10" t="str">
        <f aca="false">TEXT(A203,"ddd")</f>
        <v>Sat</v>
      </c>
      <c r="G203" s="10" t="str">
        <f aca="false">IF(WEEKDAY(A203,2)&gt;5,"Yes","No")</f>
        <v>Yes</v>
      </c>
      <c r="H203" s="10"/>
    </row>
    <row r="204" customFormat="false" ht="15" hidden="false" customHeight="true" outlineLevel="0" collapsed="false">
      <c r="A204" s="11" t="n">
        <v>45494</v>
      </c>
      <c r="B204" s="10" t="n">
        <f aca="false">YEAR(A204)</f>
        <v>2024</v>
      </c>
      <c r="C204" s="10" t="n">
        <f aca="false">MONTH(A204)</f>
        <v>7</v>
      </c>
      <c r="D204" s="10" t="str">
        <f aca="false">TEXT(A204,"mmm")</f>
        <v>Jul</v>
      </c>
      <c r="E204" s="10" t="str">
        <f aca="false">"Q"&amp;ROUNDUP(C204/3,0)</f>
        <v>Q3</v>
      </c>
      <c r="F204" s="10" t="str">
        <f aca="false">TEXT(A204,"ddd")</f>
        <v>Sun</v>
      </c>
      <c r="G204" s="10" t="str">
        <f aca="false">IF(WEEKDAY(A204,2)&gt;5,"Yes","No")</f>
        <v>Yes</v>
      </c>
      <c r="H204" s="10"/>
    </row>
    <row r="205" customFormat="false" ht="15" hidden="false" customHeight="true" outlineLevel="0" collapsed="false">
      <c r="A205" s="11" t="n">
        <v>45495</v>
      </c>
      <c r="B205" s="10" t="n">
        <f aca="false">YEAR(A205)</f>
        <v>2024</v>
      </c>
      <c r="C205" s="10" t="n">
        <f aca="false">MONTH(A205)</f>
        <v>7</v>
      </c>
      <c r="D205" s="10" t="str">
        <f aca="false">TEXT(A205,"mmm")</f>
        <v>Jul</v>
      </c>
      <c r="E205" s="10" t="str">
        <f aca="false">"Q"&amp;ROUNDUP(C205/3,0)</f>
        <v>Q3</v>
      </c>
      <c r="F205" s="10" t="str">
        <f aca="false">TEXT(A205,"ddd")</f>
        <v>Mon</v>
      </c>
      <c r="G205" s="10" t="str">
        <f aca="false">IF(WEEKDAY(A205,2)&gt;5,"Yes","No")</f>
        <v>No</v>
      </c>
      <c r="H205" s="10"/>
    </row>
    <row r="206" customFormat="false" ht="15" hidden="false" customHeight="true" outlineLevel="0" collapsed="false">
      <c r="A206" s="11" t="n">
        <v>45496</v>
      </c>
      <c r="B206" s="10" t="n">
        <f aca="false">YEAR(A206)</f>
        <v>2024</v>
      </c>
      <c r="C206" s="10" t="n">
        <f aca="false">MONTH(A206)</f>
        <v>7</v>
      </c>
      <c r="D206" s="10" t="str">
        <f aca="false">TEXT(A206,"mmm")</f>
        <v>Jul</v>
      </c>
      <c r="E206" s="10" t="str">
        <f aca="false">"Q"&amp;ROUNDUP(C206/3,0)</f>
        <v>Q3</v>
      </c>
      <c r="F206" s="10" t="str">
        <f aca="false">TEXT(A206,"ddd")</f>
        <v>Tue</v>
      </c>
      <c r="G206" s="10" t="str">
        <f aca="false">IF(WEEKDAY(A206,2)&gt;5,"Yes","No")</f>
        <v>No</v>
      </c>
      <c r="H206" s="10"/>
    </row>
    <row r="207" customFormat="false" ht="15" hidden="false" customHeight="true" outlineLevel="0" collapsed="false">
      <c r="A207" s="11" t="n">
        <v>45497</v>
      </c>
      <c r="B207" s="10" t="n">
        <f aca="false">YEAR(A207)</f>
        <v>2024</v>
      </c>
      <c r="C207" s="10" t="n">
        <f aca="false">MONTH(A207)</f>
        <v>7</v>
      </c>
      <c r="D207" s="10" t="str">
        <f aca="false">TEXT(A207,"mmm")</f>
        <v>Jul</v>
      </c>
      <c r="E207" s="10" t="str">
        <f aca="false">"Q"&amp;ROUNDUP(C207/3,0)</f>
        <v>Q3</v>
      </c>
      <c r="F207" s="10" t="str">
        <f aca="false">TEXT(A207,"ddd")</f>
        <v>Wed</v>
      </c>
      <c r="G207" s="10" t="str">
        <f aca="false">IF(WEEKDAY(A207,2)&gt;5,"Yes","No")</f>
        <v>No</v>
      </c>
      <c r="H207" s="10"/>
    </row>
    <row r="208" customFormat="false" ht="15" hidden="false" customHeight="true" outlineLevel="0" collapsed="false">
      <c r="A208" s="11" t="n">
        <v>45498</v>
      </c>
      <c r="B208" s="10" t="n">
        <f aca="false">YEAR(A208)</f>
        <v>2024</v>
      </c>
      <c r="C208" s="10" t="n">
        <f aca="false">MONTH(A208)</f>
        <v>7</v>
      </c>
      <c r="D208" s="10" t="str">
        <f aca="false">TEXT(A208,"mmm")</f>
        <v>Jul</v>
      </c>
      <c r="E208" s="10" t="str">
        <f aca="false">"Q"&amp;ROUNDUP(C208/3,0)</f>
        <v>Q3</v>
      </c>
      <c r="F208" s="10" t="str">
        <f aca="false">TEXT(A208,"ddd")</f>
        <v>Thu</v>
      </c>
      <c r="G208" s="10" t="str">
        <f aca="false">IF(WEEKDAY(A208,2)&gt;5,"Yes","No")</f>
        <v>No</v>
      </c>
      <c r="H208" s="10"/>
    </row>
    <row r="209" customFormat="false" ht="15" hidden="false" customHeight="true" outlineLevel="0" collapsed="false">
      <c r="A209" s="11" t="n">
        <v>45499</v>
      </c>
      <c r="B209" s="10" t="n">
        <f aca="false">YEAR(A209)</f>
        <v>2024</v>
      </c>
      <c r="C209" s="10" t="n">
        <f aca="false">MONTH(A209)</f>
        <v>7</v>
      </c>
      <c r="D209" s="10" t="str">
        <f aca="false">TEXT(A209,"mmm")</f>
        <v>Jul</v>
      </c>
      <c r="E209" s="10" t="str">
        <f aca="false">"Q"&amp;ROUNDUP(C209/3,0)</f>
        <v>Q3</v>
      </c>
      <c r="F209" s="10" t="str">
        <f aca="false">TEXT(A209,"ddd")</f>
        <v>Fri</v>
      </c>
      <c r="G209" s="10" t="str">
        <f aca="false">IF(WEEKDAY(A209,2)&gt;5,"Yes","No")</f>
        <v>No</v>
      </c>
      <c r="H209" s="10"/>
    </row>
    <row r="210" customFormat="false" ht="15" hidden="false" customHeight="true" outlineLevel="0" collapsed="false">
      <c r="A210" s="11" t="n">
        <v>45500</v>
      </c>
      <c r="B210" s="10" t="n">
        <f aca="false">YEAR(A210)</f>
        <v>2024</v>
      </c>
      <c r="C210" s="10" t="n">
        <f aca="false">MONTH(A210)</f>
        <v>7</v>
      </c>
      <c r="D210" s="10" t="str">
        <f aca="false">TEXT(A210,"mmm")</f>
        <v>Jul</v>
      </c>
      <c r="E210" s="10" t="str">
        <f aca="false">"Q"&amp;ROUNDUP(C210/3,0)</f>
        <v>Q3</v>
      </c>
      <c r="F210" s="10" t="str">
        <f aca="false">TEXT(A210,"ddd")</f>
        <v>Sat</v>
      </c>
      <c r="G210" s="10" t="str">
        <f aca="false">IF(WEEKDAY(A210,2)&gt;5,"Yes","No")</f>
        <v>Yes</v>
      </c>
      <c r="H210" s="10"/>
    </row>
    <row r="211" customFormat="false" ht="15" hidden="false" customHeight="true" outlineLevel="0" collapsed="false">
      <c r="A211" s="11" t="n">
        <v>45501</v>
      </c>
      <c r="B211" s="10" t="n">
        <f aca="false">YEAR(A211)</f>
        <v>2024</v>
      </c>
      <c r="C211" s="10" t="n">
        <f aca="false">MONTH(A211)</f>
        <v>7</v>
      </c>
      <c r="D211" s="10" t="str">
        <f aca="false">TEXT(A211,"mmm")</f>
        <v>Jul</v>
      </c>
      <c r="E211" s="10" t="str">
        <f aca="false">"Q"&amp;ROUNDUP(C211/3,0)</f>
        <v>Q3</v>
      </c>
      <c r="F211" s="10" t="str">
        <f aca="false">TEXT(A211,"ddd")</f>
        <v>Sun</v>
      </c>
      <c r="G211" s="10" t="str">
        <f aca="false">IF(WEEKDAY(A211,2)&gt;5,"Yes","No")</f>
        <v>Yes</v>
      </c>
      <c r="H211" s="10"/>
    </row>
    <row r="212" customFormat="false" ht="15" hidden="false" customHeight="true" outlineLevel="0" collapsed="false">
      <c r="A212" s="11" t="n">
        <v>45502</v>
      </c>
      <c r="B212" s="10" t="n">
        <f aca="false">YEAR(A212)</f>
        <v>2024</v>
      </c>
      <c r="C212" s="10" t="n">
        <f aca="false">MONTH(A212)</f>
        <v>7</v>
      </c>
      <c r="D212" s="10" t="str">
        <f aca="false">TEXT(A212,"mmm")</f>
        <v>Jul</v>
      </c>
      <c r="E212" s="10" t="str">
        <f aca="false">"Q"&amp;ROUNDUP(C212/3,0)</f>
        <v>Q3</v>
      </c>
      <c r="F212" s="10" t="str">
        <f aca="false">TEXT(A212,"ddd")</f>
        <v>Mon</v>
      </c>
      <c r="G212" s="10" t="str">
        <f aca="false">IF(WEEKDAY(A212,2)&gt;5,"Yes","No")</f>
        <v>No</v>
      </c>
      <c r="H212" s="10"/>
    </row>
    <row r="213" customFormat="false" ht="15" hidden="false" customHeight="true" outlineLevel="0" collapsed="false">
      <c r="A213" s="11" t="n">
        <v>45503</v>
      </c>
      <c r="B213" s="10" t="n">
        <f aca="false">YEAR(A213)</f>
        <v>2024</v>
      </c>
      <c r="C213" s="10" t="n">
        <f aca="false">MONTH(A213)</f>
        <v>7</v>
      </c>
      <c r="D213" s="10" t="str">
        <f aca="false">TEXT(A213,"mmm")</f>
        <v>Jul</v>
      </c>
      <c r="E213" s="10" t="str">
        <f aca="false">"Q"&amp;ROUNDUP(C213/3,0)</f>
        <v>Q3</v>
      </c>
      <c r="F213" s="10" t="str">
        <f aca="false">TEXT(A213,"ddd")</f>
        <v>Tue</v>
      </c>
      <c r="G213" s="10" t="str">
        <f aca="false">IF(WEEKDAY(A213,2)&gt;5,"Yes","No")</f>
        <v>No</v>
      </c>
      <c r="H213" s="10"/>
    </row>
    <row r="214" customFormat="false" ht="15" hidden="false" customHeight="true" outlineLevel="0" collapsed="false">
      <c r="A214" s="11" t="n">
        <v>45504</v>
      </c>
      <c r="B214" s="10" t="n">
        <f aca="false">YEAR(A214)</f>
        <v>2024</v>
      </c>
      <c r="C214" s="10" t="n">
        <f aca="false">MONTH(A214)</f>
        <v>7</v>
      </c>
      <c r="D214" s="10" t="str">
        <f aca="false">TEXT(A214,"mmm")</f>
        <v>Jul</v>
      </c>
      <c r="E214" s="10" t="str">
        <f aca="false">"Q"&amp;ROUNDUP(C214/3,0)</f>
        <v>Q3</v>
      </c>
      <c r="F214" s="10" t="str">
        <f aca="false">TEXT(A214,"ddd")</f>
        <v>Wed</v>
      </c>
      <c r="G214" s="10" t="str">
        <f aca="false">IF(WEEKDAY(A214,2)&gt;5,"Yes","No")</f>
        <v>No</v>
      </c>
      <c r="H214" s="10"/>
    </row>
    <row r="215" customFormat="false" ht="15" hidden="false" customHeight="true" outlineLevel="0" collapsed="false">
      <c r="A215" s="11" t="n">
        <v>45505</v>
      </c>
      <c r="B215" s="10" t="n">
        <f aca="false">YEAR(A215)</f>
        <v>2024</v>
      </c>
      <c r="C215" s="10" t="n">
        <f aca="false">MONTH(A215)</f>
        <v>8</v>
      </c>
      <c r="D215" s="10" t="str">
        <f aca="false">TEXT(A215,"mmm")</f>
        <v>Aug</v>
      </c>
      <c r="E215" s="10" t="str">
        <f aca="false">"Q"&amp;ROUNDUP(C215/3,0)</f>
        <v>Q3</v>
      </c>
      <c r="F215" s="10" t="str">
        <f aca="false">TEXT(A215,"ddd")</f>
        <v>Thu</v>
      </c>
      <c r="G215" s="10" t="str">
        <f aca="false">IF(WEEKDAY(A215,2)&gt;5,"Yes","No")</f>
        <v>No</v>
      </c>
      <c r="H215" s="10"/>
    </row>
    <row r="216" customFormat="false" ht="15" hidden="false" customHeight="true" outlineLevel="0" collapsed="false">
      <c r="A216" s="11" t="n">
        <v>45506</v>
      </c>
      <c r="B216" s="10" t="n">
        <f aca="false">YEAR(A216)</f>
        <v>2024</v>
      </c>
      <c r="C216" s="10" t="n">
        <f aca="false">MONTH(A216)</f>
        <v>8</v>
      </c>
      <c r="D216" s="10" t="str">
        <f aca="false">TEXT(A216,"mmm")</f>
        <v>Aug</v>
      </c>
      <c r="E216" s="10" t="str">
        <f aca="false">"Q"&amp;ROUNDUP(C216/3,0)</f>
        <v>Q3</v>
      </c>
      <c r="F216" s="10" t="str">
        <f aca="false">TEXT(A216,"ddd")</f>
        <v>Fri</v>
      </c>
      <c r="G216" s="10" t="str">
        <f aca="false">IF(WEEKDAY(A216,2)&gt;5,"Yes","No")</f>
        <v>No</v>
      </c>
      <c r="H216" s="10"/>
    </row>
    <row r="217" customFormat="false" ht="15" hidden="false" customHeight="true" outlineLevel="0" collapsed="false">
      <c r="A217" s="11" t="n">
        <v>45507</v>
      </c>
      <c r="B217" s="10" t="n">
        <f aca="false">YEAR(A217)</f>
        <v>2024</v>
      </c>
      <c r="C217" s="10" t="n">
        <f aca="false">MONTH(A217)</f>
        <v>8</v>
      </c>
      <c r="D217" s="10" t="str">
        <f aca="false">TEXT(A217,"mmm")</f>
        <v>Aug</v>
      </c>
      <c r="E217" s="10" t="str">
        <f aca="false">"Q"&amp;ROUNDUP(C217/3,0)</f>
        <v>Q3</v>
      </c>
      <c r="F217" s="10" t="str">
        <f aca="false">TEXT(A217,"ddd")</f>
        <v>Sat</v>
      </c>
      <c r="G217" s="10" t="str">
        <f aca="false">IF(WEEKDAY(A217,2)&gt;5,"Yes","No")</f>
        <v>Yes</v>
      </c>
      <c r="H217" s="10"/>
    </row>
    <row r="218" customFormat="false" ht="15" hidden="false" customHeight="true" outlineLevel="0" collapsed="false">
      <c r="A218" s="11" t="n">
        <v>45508</v>
      </c>
      <c r="B218" s="10" t="n">
        <f aca="false">YEAR(A218)</f>
        <v>2024</v>
      </c>
      <c r="C218" s="10" t="n">
        <f aca="false">MONTH(A218)</f>
        <v>8</v>
      </c>
      <c r="D218" s="10" t="str">
        <f aca="false">TEXT(A218,"mmm")</f>
        <v>Aug</v>
      </c>
      <c r="E218" s="10" t="str">
        <f aca="false">"Q"&amp;ROUNDUP(C218/3,0)</f>
        <v>Q3</v>
      </c>
      <c r="F218" s="10" t="str">
        <f aca="false">TEXT(A218,"ddd")</f>
        <v>Sun</v>
      </c>
      <c r="G218" s="10" t="str">
        <f aca="false">IF(WEEKDAY(A218,2)&gt;5,"Yes","No")</f>
        <v>Yes</v>
      </c>
      <c r="H218" s="10"/>
    </row>
    <row r="219" customFormat="false" ht="15" hidden="false" customHeight="true" outlineLevel="0" collapsed="false">
      <c r="A219" s="11" t="n">
        <v>45509</v>
      </c>
      <c r="B219" s="10" t="n">
        <f aca="false">YEAR(A219)</f>
        <v>2024</v>
      </c>
      <c r="C219" s="10" t="n">
        <f aca="false">MONTH(A219)</f>
        <v>8</v>
      </c>
      <c r="D219" s="10" t="str">
        <f aca="false">TEXT(A219,"mmm")</f>
        <v>Aug</v>
      </c>
      <c r="E219" s="10" t="str">
        <f aca="false">"Q"&amp;ROUNDUP(C219/3,0)</f>
        <v>Q3</v>
      </c>
      <c r="F219" s="10" t="str">
        <f aca="false">TEXT(A219,"ddd")</f>
        <v>Mon</v>
      </c>
      <c r="G219" s="10" t="str">
        <f aca="false">IF(WEEKDAY(A219,2)&gt;5,"Yes","No")</f>
        <v>No</v>
      </c>
      <c r="H219" s="10"/>
    </row>
    <row r="220" customFormat="false" ht="15" hidden="false" customHeight="true" outlineLevel="0" collapsed="false">
      <c r="A220" s="11" t="n">
        <v>45510</v>
      </c>
      <c r="B220" s="10" t="n">
        <f aca="false">YEAR(A220)</f>
        <v>2024</v>
      </c>
      <c r="C220" s="10" t="n">
        <f aca="false">MONTH(A220)</f>
        <v>8</v>
      </c>
      <c r="D220" s="10" t="str">
        <f aca="false">TEXT(A220,"mmm")</f>
        <v>Aug</v>
      </c>
      <c r="E220" s="10" t="str">
        <f aca="false">"Q"&amp;ROUNDUP(C220/3,0)</f>
        <v>Q3</v>
      </c>
      <c r="F220" s="10" t="str">
        <f aca="false">TEXT(A220,"ddd")</f>
        <v>Tue</v>
      </c>
      <c r="G220" s="10" t="str">
        <f aca="false">IF(WEEKDAY(A220,2)&gt;5,"Yes","No")</f>
        <v>No</v>
      </c>
      <c r="H220" s="10"/>
    </row>
    <row r="221" customFormat="false" ht="15" hidden="false" customHeight="true" outlineLevel="0" collapsed="false">
      <c r="A221" s="11" t="n">
        <v>45511</v>
      </c>
      <c r="B221" s="10" t="n">
        <f aca="false">YEAR(A221)</f>
        <v>2024</v>
      </c>
      <c r="C221" s="10" t="n">
        <f aca="false">MONTH(A221)</f>
        <v>8</v>
      </c>
      <c r="D221" s="10" t="str">
        <f aca="false">TEXT(A221,"mmm")</f>
        <v>Aug</v>
      </c>
      <c r="E221" s="10" t="str">
        <f aca="false">"Q"&amp;ROUNDUP(C221/3,0)</f>
        <v>Q3</v>
      </c>
      <c r="F221" s="10" t="str">
        <f aca="false">TEXT(A221,"ddd")</f>
        <v>Wed</v>
      </c>
      <c r="G221" s="10" t="str">
        <f aca="false">IF(WEEKDAY(A221,2)&gt;5,"Yes","No")</f>
        <v>No</v>
      </c>
      <c r="H221" s="10"/>
    </row>
    <row r="222" customFormat="false" ht="15" hidden="false" customHeight="true" outlineLevel="0" collapsed="false">
      <c r="A222" s="11" t="n">
        <v>45512</v>
      </c>
      <c r="B222" s="10" t="n">
        <f aca="false">YEAR(A222)</f>
        <v>2024</v>
      </c>
      <c r="C222" s="10" t="n">
        <f aca="false">MONTH(A222)</f>
        <v>8</v>
      </c>
      <c r="D222" s="10" t="str">
        <f aca="false">TEXT(A222,"mmm")</f>
        <v>Aug</v>
      </c>
      <c r="E222" s="10" t="str">
        <f aca="false">"Q"&amp;ROUNDUP(C222/3,0)</f>
        <v>Q3</v>
      </c>
      <c r="F222" s="10" t="str">
        <f aca="false">TEXT(A222,"ddd")</f>
        <v>Thu</v>
      </c>
      <c r="G222" s="10" t="str">
        <f aca="false">IF(WEEKDAY(A222,2)&gt;5,"Yes","No")</f>
        <v>No</v>
      </c>
      <c r="H222" s="10"/>
    </row>
    <row r="223" customFormat="false" ht="15" hidden="false" customHeight="true" outlineLevel="0" collapsed="false">
      <c r="A223" s="11" t="n">
        <v>45513</v>
      </c>
      <c r="B223" s="10" t="n">
        <f aca="false">YEAR(A223)</f>
        <v>2024</v>
      </c>
      <c r="C223" s="10" t="n">
        <f aca="false">MONTH(A223)</f>
        <v>8</v>
      </c>
      <c r="D223" s="10" t="str">
        <f aca="false">TEXT(A223,"mmm")</f>
        <v>Aug</v>
      </c>
      <c r="E223" s="10" t="str">
        <f aca="false">"Q"&amp;ROUNDUP(C223/3,0)</f>
        <v>Q3</v>
      </c>
      <c r="F223" s="10" t="str">
        <f aca="false">TEXT(A223,"ddd")</f>
        <v>Fri</v>
      </c>
      <c r="G223" s="10" t="str">
        <f aca="false">IF(WEEKDAY(A223,2)&gt;5,"Yes","No")</f>
        <v>No</v>
      </c>
      <c r="H223" s="10" t="s">
        <v>1000</v>
      </c>
    </row>
    <row r="224" customFormat="false" ht="15" hidden="false" customHeight="true" outlineLevel="0" collapsed="false">
      <c r="A224" s="11" t="n">
        <v>45514</v>
      </c>
      <c r="B224" s="10" t="n">
        <f aca="false">YEAR(A224)</f>
        <v>2024</v>
      </c>
      <c r="C224" s="10" t="n">
        <f aca="false">MONTH(A224)</f>
        <v>8</v>
      </c>
      <c r="D224" s="10" t="str">
        <f aca="false">TEXT(A224,"mmm")</f>
        <v>Aug</v>
      </c>
      <c r="E224" s="10" t="str">
        <f aca="false">"Q"&amp;ROUNDUP(C224/3,0)</f>
        <v>Q3</v>
      </c>
      <c r="F224" s="10" t="str">
        <f aca="false">TEXT(A224,"ddd")</f>
        <v>Sat</v>
      </c>
      <c r="G224" s="10" t="str">
        <f aca="false">IF(WEEKDAY(A224,2)&gt;5,"Yes","No")</f>
        <v>Yes</v>
      </c>
      <c r="H224" s="10"/>
    </row>
    <row r="225" customFormat="false" ht="15" hidden="false" customHeight="true" outlineLevel="0" collapsed="false">
      <c r="A225" s="11" t="n">
        <v>45515</v>
      </c>
      <c r="B225" s="10" t="n">
        <f aca="false">YEAR(A225)</f>
        <v>2024</v>
      </c>
      <c r="C225" s="10" t="n">
        <f aca="false">MONTH(A225)</f>
        <v>8</v>
      </c>
      <c r="D225" s="10" t="str">
        <f aca="false">TEXT(A225,"mmm")</f>
        <v>Aug</v>
      </c>
      <c r="E225" s="10" t="str">
        <f aca="false">"Q"&amp;ROUNDUP(C225/3,0)</f>
        <v>Q3</v>
      </c>
      <c r="F225" s="10" t="str">
        <f aca="false">TEXT(A225,"ddd")</f>
        <v>Sun</v>
      </c>
      <c r="G225" s="10" t="str">
        <f aca="false">IF(WEEKDAY(A225,2)&gt;5,"Yes","No")</f>
        <v>Yes</v>
      </c>
      <c r="H225" s="10"/>
    </row>
    <row r="226" customFormat="false" ht="15" hidden="false" customHeight="true" outlineLevel="0" collapsed="false">
      <c r="A226" s="11" t="n">
        <v>45516</v>
      </c>
      <c r="B226" s="10" t="n">
        <f aca="false">YEAR(A226)</f>
        <v>2024</v>
      </c>
      <c r="C226" s="10" t="n">
        <f aca="false">MONTH(A226)</f>
        <v>8</v>
      </c>
      <c r="D226" s="10" t="str">
        <f aca="false">TEXT(A226,"mmm")</f>
        <v>Aug</v>
      </c>
      <c r="E226" s="10" t="str">
        <f aca="false">"Q"&amp;ROUNDUP(C226/3,0)</f>
        <v>Q3</v>
      </c>
      <c r="F226" s="10" t="str">
        <f aca="false">TEXT(A226,"ddd")</f>
        <v>Mon</v>
      </c>
      <c r="G226" s="10" t="str">
        <f aca="false">IF(WEEKDAY(A226,2)&gt;5,"Yes","No")</f>
        <v>No</v>
      </c>
      <c r="H226" s="10"/>
    </row>
    <row r="227" customFormat="false" ht="15" hidden="false" customHeight="true" outlineLevel="0" collapsed="false">
      <c r="A227" s="11" t="n">
        <v>45517</v>
      </c>
      <c r="B227" s="10" t="n">
        <f aca="false">YEAR(A227)</f>
        <v>2024</v>
      </c>
      <c r="C227" s="10" t="n">
        <f aca="false">MONTH(A227)</f>
        <v>8</v>
      </c>
      <c r="D227" s="10" t="str">
        <f aca="false">TEXT(A227,"mmm")</f>
        <v>Aug</v>
      </c>
      <c r="E227" s="10" t="str">
        <f aca="false">"Q"&amp;ROUNDUP(C227/3,0)</f>
        <v>Q3</v>
      </c>
      <c r="F227" s="10" t="str">
        <f aca="false">TEXT(A227,"ddd")</f>
        <v>Tue</v>
      </c>
      <c r="G227" s="10" t="str">
        <f aca="false">IF(WEEKDAY(A227,2)&gt;5,"Yes","No")</f>
        <v>No</v>
      </c>
      <c r="H227" s="10"/>
    </row>
    <row r="228" customFormat="false" ht="15" hidden="false" customHeight="true" outlineLevel="0" collapsed="false">
      <c r="A228" s="11" t="n">
        <v>45518</v>
      </c>
      <c r="B228" s="10" t="n">
        <f aca="false">YEAR(A228)</f>
        <v>2024</v>
      </c>
      <c r="C228" s="10" t="n">
        <f aca="false">MONTH(A228)</f>
        <v>8</v>
      </c>
      <c r="D228" s="10" t="str">
        <f aca="false">TEXT(A228,"mmm")</f>
        <v>Aug</v>
      </c>
      <c r="E228" s="10" t="str">
        <f aca="false">"Q"&amp;ROUNDUP(C228/3,0)</f>
        <v>Q3</v>
      </c>
      <c r="F228" s="10" t="str">
        <f aca="false">TEXT(A228,"ddd")</f>
        <v>Wed</v>
      </c>
      <c r="G228" s="10" t="str">
        <f aca="false">IF(WEEKDAY(A228,2)&gt;5,"Yes","No")</f>
        <v>No</v>
      </c>
      <c r="H228" s="10"/>
    </row>
    <row r="229" customFormat="false" ht="15" hidden="false" customHeight="true" outlineLevel="0" collapsed="false">
      <c r="A229" s="11" t="n">
        <v>45519</v>
      </c>
      <c r="B229" s="10" t="n">
        <f aca="false">YEAR(A229)</f>
        <v>2024</v>
      </c>
      <c r="C229" s="10" t="n">
        <f aca="false">MONTH(A229)</f>
        <v>8</v>
      </c>
      <c r="D229" s="10" t="str">
        <f aca="false">TEXT(A229,"mmm")</f>
        <v>Aug</v>
      </c>
      <c r="E229" s="10" t="str">
        <f aca="false">"Q"&amp;ROUNDUP(C229/3,0)</f>
        <v>Q3</v>
      </c>
      <c r="F229" s="10" t="str">
        <f aca="false">TEXT(A229,"ddd")</f>
        <v>Thu</v>
      </c>
      <c r="G229" s="10" t="str">
        <f aca="false">IF(WEEKDAY(A229,2)&gt;5,"Yes","No")</f>
        <v>No</v>
      </c>
      <c r="H229" s="10"/>
    </row>
    <row r="230" customFormat="false" ht="15" hidden="false" customHeight="true" outlineLevel="0" collapsed="false">
      <c r="A230" s="11" t="n">
        <v>45520</v>
      </c>
      <c r="B230" s="10" t="n">
        <f aca="false">YEAR(A230)</f>
        <v>2024</v>
      </c>
      <c r="C230" s="10" t="n">
        <f aca="false">MONTH(A230)</f>
        <v>8</v>
      </c>
      <c r="D230" s="10" t="str">
        <f aca="false">TEXT(A230,"mmm")</f>
        <v>Aug</v>
      </c>
      <c r="E230" s="10" t="str">
        <f aca="false">"Q"&amp;ROUNDUP(C230/3,0)</f>
        <v>Q3</v>
      </c>
      <c r="F230" s="10" t="str">
        <f aca="false">TEXT(A230,"ddd")</f>
        <v>Fri</v>
      </c>
      <c r="G230" s="10" t="str">
        <f aca="false">IF(WEEKDAY(A230,2)&gt;5,"Yes","No")</f>
        <v>No</v>
      </c>
      <c r="H230" s="10"/>
    </row>
    <row r="231" customFormat="false" ht="15" hidden="false" customHeight="true" outlineLevel="0" collapsed="false">
      <c r="A231" s="11" t="n">
        <v>45521</v>
      </c>
      <c r="B231" s="10" t="n">
        <f aca="false">YEAR(A231)</f>
        <v>2024</v>
      </c>
      <c r="C231" s="10" t="n">
        <f aca="false">MONTH(A231)</f>
        <v>8</v>
      </c>
      <c r="D231" s="10" t="str">
        <f aca="false">TEXT(A231,"mmm")</f>
        <v>Aug</v>
      </c>
      <c r="E231" s="10" t="str">
        <f aca="false">"Q"&amp;ROUNDUP(C231/3,0)</f>
        <v>Q3</v>
      </c>
      <c r="F231" s="10" t="str">
        <f aca="false">TEXT(A231,"ddd")</f>
        <v>Sat</v>
      </c>
      <c r="G231" s="10" t="str">
        <f aca="false">IF(WEEKDAY(A231,2)&gt;5,"Yes","No")</f>
        <v>Yes</v>
      </c>
      <c r="H231" s="10"/>
    </row>
    <row r="232" customFormat="false" ht="15" hidden="false" customHeight="true" outlineLevel="0" collapsed="false">
      <c r="A232" s="11" t="n">
        <v>45522</v>
      </c>
      <c r="B232" s="10" t="n">
        <f aca="false">YEAR(A232)</f>
        <v>2024</v>
      </c>
      <c r="C232" s="10" t="n">
        <f aca="false">MONTH(A232)</f>
        <v>8</v>
      </c>
      <c r="D232" s="10" t="str">
        <f aca="false">TEXT(A232,"mmm")</f>
        <v>Aug</v>
      </c>
      <c r="E232" s="10" t="str">
        <f aca="false">"Q"&amp;ROUNDUP(C232/3,0)</f>
        <v>Q3</v>
      </c>
      <c r="F232" s="10" t="str">
        <f aca="false">TEXT(A232,"ddd")</f>
        <v>Sun</v>
      </c>
      <c r="G232" s="10" t="str">
        <f aca="false">IF(WEEKDAY(A232,2)&gt;5,"Yes","No")</f>
        <v>Yes</v>
      </c>
      <c r="H232" s="10"/>
    </row>
    <row r="233" customFormat="false" ht="15" hidden="false" customHeight="true" outlineLevel="0" collapsed="false">
      <c r="A233" s="11" t="n">
        <v>45523</v>
      </c>
      <c r="B233" s="10" t="n">
        <f aca="false">YEAR(A233)</f>
        <v>2024</v>
      </c>
      <c r="C233" s="10" t="n">
        <f aca="false">MONTH(A233)</f>
        <v>8</v>
      </c>
      <c r="D233" s="10" t="str">
        <f aca="false">TEXT(A233,"mmm")</f>
        <v>Aug</v>
      </c>
      <c r="E233" s="10" t="str">
        <f aca="false">"Q"&amp;ROUNDUP(C233/3,0)</f>
        <v>Q3</v>
      </c>
      <c r="F233" s="10" t="str">
        <f aca="false">TEXT(A233,"ddd")</f>
        <v>Mon</v>
      </c>
      <c r="G233" s="10" t="str">
        <f aca="false">IF(WEEKDAY(A233,2)&gt;5,"Yes","No")</f>
        <v>No</v>
      </c>
      <c r="H233" s="10"/>
    </row>
    <row r="234" customFormat="false" ht="15" hidden="false" customHeight="true" outlineLevel="0" collapsed="false">
      <c r="A234" s="11" t="n">
        <v>45524</v>
      </c>
      <c r="B234" s="10" t="n">
        <f aca="false">YEAR(A234)</f>
        <v>2024</v>
      </c>
      <c r="C234" s="10" t="n">
        <f aca="false">MONTH(A234)</f>
        <v>8</v>
      </c>
      <c r="D234" s="10" t="str">
        <f aca="false">TEXT(A234,"mmm")</f>
        <v>Aug</v>
      </c>
      <c r="E234" s="10" t="str">
        <f aca="false">"Q"&amp;ROUNDUP(C234/3,0)</f>
        <v>Q3</v>
      </c>
      <c r="F234" s="10" t="str">
        <f aca="false">TEXT(A234,"ddd")</f>
        <v>Tue</v>
      </c>
      <c r="G234" s="10" t="str">
        <f aca="false">IF(WEEKDAY(A234,2)&gt;5,"Yes","No")</f>
        <v>No</v>
      </c>
      <c r="H234" s="10"/>
    </row>
    <row r="235" customFormat="false" ht="15" hidden="false" customHeight="true" outlineLevel="0" collapsed="false">
      <c r="A235" s="11" t="n">
        <v>45525</v>
      </c>
      <c r="B235" s="10" t="n">
        <f aca="false">YEAR(A235)</f>
        <v>2024</v>
      </c>
      <c r="C235" s="10" t="n">
        <f aca="false">MONTH(A235)</f>
        <v>8</v>
      </c>
      <c r="D235" s="10" t="str">
        <f aca="false">TEXT(A235,"mmm")</f>
        <v>Aug</v>
      </c>
      <c r="E235" s="10" t="str">
        <f aca="false">"Q"&amp;ROUNDUP(C235/3,0)</f>
        <v>Q3</v>
      </c>
      <c r="F235" s="10" t="str">
        <f aca="false">TEXT(A235,"ddd")</f>
        <v>Wed</v>
      </c>
      <c r="G235" s="10" t="str">
        <f aca="false">IF(WEEKDAY(A235,2)&gt;5,"Yes","No")</f>
        <v>No</v>
      </c>
      <c r="H235" s="10"/>
    </row>
    <row r="236" customFormat="false" ht="15" hidden="false" customHeight="true" outlineLevel="0" collapsed="false">
      <c r="A236" s="11" t="n">
        <v>45526</v>
      </c>
      <c r="B236" s="10" t="n">
        <f aca="false">YEAR(A236)</f>
        <v>2024</v>
      </c>
      <c r="C236" s="10" t="n">
        <f aca="false">MONTH(A236)</f>
        <v>8</v>
      </c>
      <c r="D236" s="10" t="str">
        <f aca="false">TEXT(A236,"mmm")</f>
        <v>Aug</v>
      </c>
      <c r="E236" s="10" t="str">
        <f aca="false">"Q"&amp;ROUNDUP(C236/3,0)</f>
        <v>Q3</v>
      </c>
      <c r="F236" s="10" t="str">
        <f aca="false">TEXT(A236,"ddd")</f>
        <v>Thu</v>
      </c>
      <c r="G236" s="10" t="str">
        <f aca="false">IF(WEEKDAY(A236,2)&gt;5,"Yes","No")</f>
        <v>No</v>
      </c>
      <c r="H236" s="10"/>
    </row>
    <row r="237" customFormat="false" ht="15" hidden="false" customHeight="true" outlineLevel="0" collapsed="false">
      <c r="A237" s="11" t="n">
        <v>45527</v>
      </c>
      <c r="B237" s="10" t="n">
        <f aca="false">YEAR(A237)</f>
        <v>2024</v>
      </c>
      <c r="C237" s="10" t="n">
        <f aca="false">MONTH(A237)</f>
        <v>8</v>
      </c>
      <c r="D237" s="10" t="str">
        <f aca="false">TEXT(A237,"mmm")</f>
        <v>Aug</v>
      </c>
      <c r="E237" s="10" t="str">
        <f aca="false">"Q"&amp;ROUNDUP(C237/3,0)</f>
        <v>Q3</v>
      </c>
      <c r="F237" s="10" t="str">
        <f aca="false">TEXT(A237,"ddd")</f>
        <v>Fri</v>
      </c>
      <c r="G237" s="10" t="str">
        <f aca="false">IF(WEEKDAY(A237,2)&gt;5,"Yes","No")</f>
        <v>No</v>
      </c>
      <c r="H237" s="10"/>
    </row>
    <row r="238" customFormat="false" ht="15" hidden="false" customHeight="true" outlineLevel="0" collapsed="false">
      <c r="A238" s="11" t="n">
        <v>45528</v>
      </c>
      <c r="B238" s="10" t="n">
        <f aca="false">YEAR(A238)</f>
        <v>2024</v>
      </c>
      <c r="C238" s="10" t="n">
        <f aca="false">MONTH(A238)</f>
        <v>8</v>
      </c>
      <c r="D238" s="10" t="str">
        <f aca="false">TEXT(A238,"mmm")</f>
        <v>Aug</v>
      </c>
      <c r="E238" s="10" t="str">
        <f aca="false">"Q"&amp;ROUNDUP(C238/3,0)</f>
        <v>Q3</v>
      </c>
      <c r="F238" s="10" t="str">
        <f aca="false">TEXT(A238,"ddd")</f>
        <v>Sat</v>
      </c>
      <c r="G238" s="10" t="str">
        <f aca="false">IF(WEEKDAY(A238,2)&gt;5,"Yes","No")</f>
        <v>Yes</v>
      </c>
      <c r="H238" s="10"/>
    </row>
    <row r="239" customFormat="false" ht="15" hidden="false" customHeight="true" outlineLevel="0" collapsed="false">
      <c r="A239" s="11" t="n">
        <v>45529</v>
      </c>
      <c r="B239" s="10" t="n">
        <f aca="false">YEAR(A239)</f>
        <v>2024</v>
      </c>
      <c r="C239" s="10" t="n">
        <f aca="false">MONTH(A239)</f>
        <v>8</v>
      </c>
      <c r="D239" s="10" t="str">
        <f aca="false">TEXT(A239,"mmm")</f>
        <v>Aug</v>
      </c>
      <c r="E239" s="10" t="str">
        <f aca="false">"Q"&amp;ROUNDUP(C239/3,0)</f>
        <v>Q3</v>
      </c>
      <c r="F239" s="10" t="str">
        <f aca="false">TEXT(A239,"ddd")</f>
        <v>Sun</v>
      </c>
      <c r="G239" s="10" t="str">
        <f aca="false">IF(WEEKDAY(A239,2)&gt;5,"Yes","No")</f>
        <v>Yes</v>
      </c>
      <c r="H239" s="10"/>
    </row>
    <row r="240" customFormat="false" ht="15" hidden="false" customHeight="true" outlineLevel="0" collapsed="false">
      <c r="A240" s="11" t="n">
        <v>45530</v>
      </c>
      <c r="B240" s="10" t="n">
        <f aca="false">YEAR(A240)</f>
        <v>2024</v>
      </c>
      <c r="C240" s="10" t="n">
        <f aca="false">MONTH(A240)</f>
        <v>8</v>
      </c>
      <c r="D240" s="10" t="str">
        <f aca="false">TEXT(A240,"mmm")</f>
        <v>Aug</v>
      </c>
      <c r="E240" s="10" t="str">
        <f aca="false">"Q"&amp;ROUNDUP(C240/3,0)</f>
        <v>Q3</v>
      </c>
      <c r="F240" s="10" t="str">
        <f aca="false">TEXT(A240,"ddd")</f>
        <v>Mon</v>
      </c>
      <c r="G240" s="10" t="str">
        <f aca="false">IF(WEEKDAY(A240,2)&gt;5,"Yes","No")</f>
        <v>No</v>
      </c>
      <c r="H240" s="10"/>
    </row>
    <row r="241" customFormat="false" ht="15" hidden="false" customHeight="true" outlineLevel="0" collapsed="false">
      <c r="A241" s="11" t="n">
        <v>45531</v>
      </c>
      <c r="B241" s="10" t="n">
        <f aca="false">YEAR(A241)</f>
        <v>2024</v>
      </c>
      <c r="C241" s="10" t="n">
        <f aca="false">MONTH(A241)</f>
        <v>8</v>
      </c>
      <c r="D241" s="10" t="str">
        <f aca="false">TEXT(A241,"mmm")</f>
        <v>Aug</v>
      </c>
      <c r="E241" s="10" t="str">
        <f aca="false">"Q"&amp;ROUNDUP(C241/3,0)</f>
        <v>Q3</v>
      </c>
      <c r="F241" s="10" t="str">
        <f aca="false">TEXT(A241,"ddd")</f>
        <v>Tue</v>
      </c>
      <c r="G241" s="10" t="str">
        <f aca="false">IF(WEEKDAY(A241,2)&gt;5,"Yes","No")</f>
        <v>No</v>
      </c>
      <c r="H241" s="10"/>
    </row>
    <row r="242" customFormat="false" ht="15" hidden="false" customHeight="true" outlineLevel="0" collapsed="false">
      <c r="A242" s="11" t="n">
        <v>45532</v>
      </c>
      <c r="B242" s="10" t="n">
        <f aca="false">YEAR(A242)</f>
        <v>2024</v>
      </c>
      <c r="C242" s="10" t="n">
        <f aca="false">MONTH(A242)</f>
        <v>8</v>
      </c>
      <c r="D242" s="10" t="str">
        <f aca="false">TEXT(A242,"mmm")</f>
        <v>Aug</v>
      </c>
      <c r="E242" s="10" t="str">
        <f aca="false">"Q"&amp;ROUNDUP(C242/3,0)</f>
        <v>Q3</v>
      </c>
      <c r="F242" s="10" t="str">
        <f aca="false">TEXT(A242,"ddd")</f>
        <v>Wed</v>
      </c>
      <c r="G242" s="10" t="str">
        <f aca="false">IF(WEEKDAY(A242,2)&gt;5,"Yes","No")</f>
        <v>No</v>
      </c>
      <c r="H242" s="10"/>
    </row>
    <row r="243" customFormat="false" ht="15" hidden="false" customHeight="true" outlineLevel="0" collapsed="false">
      <c r="A243" s="11" t="n">
        <v>45533</v>
      </c>
      <c r="B243" s="10" t="n">
        <f aca="false">YEAR(A243)</f>
        <v>2024</v>
      </c>
      <c r="C243" s="10" t="n">
        <f aca="false">MONTH(A243)</f>
        <v>8</v>
      </c>
      <c r="D243" s="10" t="str">
        <f aca="false">TEXT(A243,"mmm")</f>
        <v>Aug</v>
      </c>
      <c r="E243" s="10" t="str">
        <f aca="false">"Q"&amp;ROUNDUP(C243/3,0)</f>
        <v>Q3</v>
      </c>
      <c r="F243" s="10" t="str">
        <f aca="false">TEXT(A243,"ddd")</f>
        <v>Thu</v>
      </c>
      <c r="G243" s="10" t="str">
        <f aca="false">IF(WEEKDAY(A243,2)&gt;5,"Yes","No")</f>
        <v>No</v>
      </c>
      <c r="H243" s="10"/>
    </row>
    <row r="244" customFormat="false" ht="15" hidden="false" customHeight="true" outlineLevel="0" collapsed="false">
      <c r="A244" s="11" t="n">
        <v>45534</v>
      </c>
      <c r="B244" s="10" t="n">
        <f aca="false">YEAR(A244)</f>
        <v>2024</v>
      </c>
      <c r="C244" s="10" t="n">
        <f aca="false">MONTH(A244)</f>
        <v>8</v>
      </c>
      <c r="D244" s="10" t="str">
        <f aca="false">TEXT(A244,"mmm")</f>
        <v>Aug</v>
      </c>
      <c r="E244" s="10" t="str">
        <f aca="false">"Q"&amp;ROUNDUP(C244/3,0)</f>
        <v>Q3</v>
      </c>
      <c r="F244" s="10" t="str">
        <f aca="false">TEXT(A244,"ddd")</f>
        <v>Fri</v>
      </c>
      <c r="G244" s="10" t="str">
        <f aca="false">IF(WEEKDAY(A244,2)&gt;5,"Yes","No")</f>
        <v>No</v>
      </c>
      <c r="H244" s="10"/>
    </row>
    <row r="245" customFormat="false" ht="15" hidden="false" customHeight="true" outlineLevel="0" collapsed="false">
      <c r="A245" s="11" t="n">
        <v>45535</v>
      </c>
      <c r="B245" s="10" t="n">
        <f aca="false">YEAR(A245)</f>
        <v>2024</v>
      </c>
      <c r="C245" s="10" t="n">
        <f aca="false">MONTH(A245)</f>
        <v>8</v>
      </c>
      <c r="D245" s="10" t="str">
        <f aca="false">TEXT(A245,"mmm")</f>
        <v>Aug</v>
      </c>
      <c r="E245" s="10" t="str">
        <f aca="false">"Q"&amp;ROUNDUP(C245/3,0)</f>
        <v>Q3</v>
      </c>
      <c r="F245" s="10" t="str">
        <f aca="false">TEXT(A245,"ddd")</f>
        <v>Sat</v>
      </c>
      <c r="G245" s="10" t="str">
        <f aca="false">IF(WEEKDAY(A245,2)&gt;5,"Yes","No")</f>
        <v>Yes</v>
      </c>
      <c r="H245" s="10"/>
    </row>
    <row r="246" customFormat="false" ht="15" hidden="false" customHeight="true" outlineLevel="0" collapsed="false">
      <c r="A246" s="11" t="n">
        <v>45536</v>
      </c>
      <c r="B246" s="10" t="n">
        <f aca="false">YEAR(A246)</f>
        <v>2024</v>
      </c>
      <c r="C246" s="10" t="n">
        <f aca="false">MONTH(A246)</f>
        <v>9</v>
      </c>
      <c r="D246" s="10" t="str">
        <f aca="false">TEXT(A246,"mmm")</f>
        <v>Sep</v>
      </c>
      <c r="E246" s="10" t="str">
        <f aca="false">"Q"&amp;ROUNDUP(C246/3,0)</f>
        <v>Q3</v>
      </c>
      <c r="F246" s="10" t="str">
        <f aca="false">TEXT(A246,"ddd")</f>
        <v>Sun</v>
      </c>
      <c r="G246" s="10" t="str">
        <f aca="false">IF(WEEKDAY(A246,2)&gt;5,"Yes","No")</f>
        <v>Yes</v>
      </c>
      <c r="H246" s="10"/>
    </row>
    <row r="247" customFormat="false" ht="15" hidden="false" customHeight="true" outlineLevel="0" collapsed="false">
      <c r="A247" s="11" t="n">
        <v>45537</v>
      </c>
      <c r="B247" s="10" t="n">
        <f aca="false">YEAR(A247)</f>
        <v>2024</v>
      </c>
      <c r="C247" s="10" t="n">
        <f aca="false">MONTH(A247)</f>
        <v>9</v>
      </c>
      <c r="D247" s="10" t="str">
        <f aca="false">TEXT(A247,"mmm")</f>
        <v>Sep</v>
      </c>
      <c r="E247" s="10" t="str">
        <f aca="false">"Q"&amp;ROUNDUP(C247/3,0)</f>
        <v>Q3</v>
      </c>
      <c r="F247" s="10" t="str">
        <f aca="false">TEXT(A247,"ddd")</f>
        <v>Mon</v>
      </c>
      <c r="G247" s="10" t="str">
        <f aca="false">IF(WEEKDAY(A247,2)&gt;5,"Yes","No")</f>
        <v>No</v>
      </c>
      <c r="H247" s="10"/>
    </row>
    <row r="248" customFormat="false" ht="15" hidden="false" customHeight="true" outlineLevel="0" collapsed="false">
      <c r="A248" s="11" t="n">
        <v>45538</v>
      </c>
      <c r="B248" s="10" t="n">
        <f aca="false">YEAR(A248)</f>
        <v>2024</v>
      </c>
      <c r="C248" s="10" t="n">
        <f aca="false">MONTH(A248)</f>
        <v>9</v>
      </c>
      <c r="D248" s="10" t="str">
        <f aca="false">TEXT(A248,"mmm")</f>
        <v>Sep</v>
      </c>
      <c r="E248" s="10" t="str">
        <f aca="false">"Q"&amp;ROUNDUP(C248/3,0)</f>
        <v>Q3</v>
      </c>
      <c r="F248" s="10" t="str">
        <f aca="false">TEXT(A248,"ddd")</f>
        <v>Tue</v>
      </c>
      <c r="G248" s="10" t="str">
        <f aca="false">IF(WEEKDAY(A248,2)&gt;5,"Yes","No")</f>
        <v>No</v>
      </c>
      <c r="H248" s="10"/>
    </row>
    <row r="249" customFormat="false" ht="15" hidden="false" customHeight="true" outlineLevel="0" collapsed="false">
      <c r="A249" s="11" t="n">
        <v>45539</v>
      </c>
      <c r="B249" s="10" t="n">
        <f aca="false">YEAR(A249)</f>
        <v>2024</v>
      </c>
      <c r="C249" s="10" t="n">
        <f aca="false">MONTH(A249)</f>
        <v>9</v>
      </c>
      <c r="D249" s="10" t="str">
        <f aca="false">TEXT(A249,"mmm")</f>
        <v>Sep</v>
      </c>
      <c r="E249" s="10" t="str">
        <f aca="false">"Q"&amp;ROUNDUP(C249/3,0)</f>
        <v>Q3</v>
      </c>
      <c r="F249" s="10" t="str">
        <f aca="false">TEXT(A249,"ddd")</f>
        <v>Wed</v>
      </c>
      <c r="G249" s="10" t="str">
        <f aca="false">IF(WEEKDAY(A249,2)&gt;5,"Yes","No")</f>
        <v>No</v>
      </c>
      <c r="H249" s="10"/>
    </row>
    <row r="250" customFormat="false" ht="15" hidden="false" customHeight="true" outlineLevel="0" collapsed="false">
      <c r="A250" s="11" t="n">
        <v>45540</v>
      </c>
      <c r="B250" s="10" t="n">
        <f aca="false">YEAR(A250)</f>
        <v>2024</v>
      </c>
      <c r="C250" s="10" t="n">
        <f aca="false">MONTH(A250)</f>
        <v>9</v>
      </c>
      <c r="D250" s="10" t="str">
        <f aca="false">TEXT(A250,"mmm")</f>
        <v>Sep</v>
      </c>
      <c r="E250" s="10" t="str">
        <f aca="false">"Q"&amp;ROUNDUP(C250/3,0)</f>
        <v>Q3</v>
      </c>
      <c r="F250" s="10" t="str">
        <f aca="false">TEXT(A250,"ddd")</f>
        <v>Thu</v>
      </c>
      <c r="G250" s="10" t="str">
        <f aca="false">IF(WEEKDAY(A250,2)&gt;5,"Yes","No")</f>
        <v>No</v>
      </c>
      <c r="H250" s="10"/>
    </row>
    <row r="251" customFormat="false" ht="15" hidden="false" customHeight="true" outlineLevel="0" collapsed="false">
      <c r="A251" s="11" t="n">
        <v>45541</v>
      </c>
      <c r="B251" s="10" t="n">
        <f aca="false">YEAR(A251)</f>
        <v>2024</v>
      </c>
      <c r="C251" s="10" t="n">
        <f aca="false">MONTH(A251)</f>
        <v>9</v>
      </c>
      <c r="D251" s="10" t="str">
        <f aca="false">TEXT(A251,"mmm")</f>
        <v>Sep</v>
      </c>
      <c r="E251" s="10" t="str">
        <f aca="false">"Q"&amp;ROUNDUP(C251/3,0)</f>
        <v>Q3</v>
      </c>
      <c r="F251" s="10" t="str">
        <f aca="false">TEXT(A251,"ddd")</f>
        <v>Fri</v>
      </c>
      <c r="G251" s="10" t="str">
        <f aca="false">IF(WEEKDAY(A251,2)&gt;5,"Yes","No")</f>
        <v>No</v>
      </c>
      <c r="H251" s="10"/>
    </row>
    <row r="252" customFormat="false" ht="15" hidden="false" customHeight="true" outlineLevel="0" collapsed="false">
      <c r="A252" s="11" t="n">
        <v>45542</v>
      </c>
      <c r="B252" s="10" t="n">
        <f aca="false">YEAR(A252)</f>
        <v>2024</v>
      </c>
      <c r="C252" s="10" t="n">
        <f aca="false">MONTH(A252)</f>
        <v>9</v>
      </c>
      <c r="D252" s="10" t="str">
        <f aca="false">TEXT(A252,"mmm")</f>
        <v>Sep</v>
      </c>
      <c r="E252" s="10" t="str">
        <f aca="false">"Q"&amp;ROUNDUP(C252/3,0)</f>
        <v>Q3</v>
      </c>
      <c r="F252" s="10" t="str">
        <f aca="false">TEXT(A252,"ddd")</f>
        <v>Sat</v>
      </c>
      <c r="G252" s="10" t="str">
        <f aca="false">IF(WEEKDAY(A252,2)&gt;5,"Yes","No")</f>
        <v>Yes</v>
      </c>
      <c r="H252" s="10"/>
    </row>
    <row r="253" customFormat="false" ht="15" hidden="false" customHeight="true" outlineLevel="0" collapsed="false">
      <c r="A253" s="11" t="n">
        <v>45543</v>
      </c>
      <c r="B253" s="10" t="n">
        <f aca="false">YEAR(A253)</f>
        <v>2024</v>
      </c>
      <c r="C253" s="10" t="n">
        <f aca="false">MONTH(A253)</f>
        <v>9</v>
      </c>
      <c r="D253" s="10" t="str">
        <f aca="false">TEXT(A253,"mmm")</f>
        <v>Sep</v>
      </c>
      <c r="E253" s="10" t="str">
        <f aca="false">"Q"&amp;ROUNDUP(C253/3,0)</f>
        <v>Q3</v>
      </c>
      <c r="F253" s="10" t="str">
        <f aca="false">TEXT(A253,"ddd")</f>
        <v>Sun</v>
      </c>
      <c r="G253" s="10" t="str">
        <f aca="false">IF(WEEKDAY(A253,2)&gt;5,"Yes","No")</f>
        <v>Yes</v>
      </c>
      <c r="H253" s="10"/>
    </row>
    <row r="254" customFormat="false" ht="15" hidden="false" customHeight="true" outlineLevel="0" collapsed="false">
      <c r="A254" s="11" t="n">
        <v>45544</v>
      </c>
      <c r="B254" s="10" t="n">
        <f aca="false">YEAR(A254)</f>
        <v>2024</v>
      </c>
      <c r="C254" s="10" t="n">
        <f aca="false">MONTH(A254)</f>
        <v>9</v>
      </c>
      <c r="D254" s="10" t="str">
        <f aca="false">TEXT(A254,"mmm")</f>
        <v>Sep</v>
      </c>
      <c r="E254" s="10" t="str">
        <f aca="false">"Q"&amp;ROUNDUP(C254/3,0)</f>
        <v>Q3</v>
      </c>
      <c r="F254" s="10" t="str">
        <f aca="false">TEXT(A254,"ddd")</f>
        <v>Mon</v>
      </c>
      <c r="G254" s="10" t="str">
        <f aca="false">IF(WEEKDAY(A254,2)&gt;5,"Yes","No")</f>
        <v>No</v>
      </c>
      <c r="H254" s="10"/>
    </row>
    <row r="255" customFormat="false" ht="15" hidden="false" customHeight="true" outlineLevel="0" collapsed="false">
      <c r="A255" s="11" t="n">
        <v>45545</v>
      </c>
      <c r="B255" s="10" t="n">
        <f aca="false">YEAR(A255)</f>
        <v>2024</v>
      </c>
      <c r="C255" s="10" t="n">
        <f aca="false">MONTH(A255)</f>
        <v>9</v>
      </c>
      <c r="D255" s="10" t="str">
        <f aca="false">TEXT(A255,"mmm")</f>
        <v>Sep</v>
      </c>
      <c r="E255" s="10" t="str">
        <f aca="false">"Q"&amp;ROUNDUP(C255/3,0)</f>
        <v>Q3</v>
      </c>
      <c r="F255" s="10" t="str">
        <f aca="false">TEXT(A255,"ddd")</f>
        <v>Tue</v>
      </c>
      <c r="G255" s="10" t="str">
        <f aca="false">IF(WEEKDAY(A255,2)&gt;5,"Yes","No")</f>
        <v>No</v>
      </c>
      <c r="H255" s="10"/>
    </row>
    <row r="256" customFormat="false" ht="15" hidden="false" customHeight="true" outlineLevel="0" collapsed="false">
      <c r="A256" s="11" t="n">
        <v>45546</v>
      </c>
      <c r="B256" s="10" t="n">
        <f aca="false">YEAR(A256)</f>
        <v>2024</v>
      </c>
      <c r="C256" s="10" t="n">
        <f aca="false">MONTH(A256)</f>
        <v>9</v>
      </c>
      <c r="D256" s="10" t="str">
        <f aca="false">TEXT(A256,"mmm")</f>
        <v>Sep</v>
      </c>
      <c r="E256" s="10" t="str">
        <f aca="false">"Q"&amp;ROUNDUP(C256/3,0)</f>
        <v>Q3</v>
      </c>
      <c r="F256" s="10" t="str">
        <f aca="false">TEXT(A256,"ddd")</f>
        <v>Wed</v>
      </c>
      <c r="G256" s="10" t="str">
        <f aca="false">IF(WEEKDAY(A256,2)&gt;5,"Yes","No")</f>
        <v>No</v>
      </c>
      <c r="H256" s="10"/>
    </row>
    <row r="257" customFormat="false" ht="15" hidden="false" customHeight="true" outlineLevel="0" collapsed="false">
      <c r="A257" s="11" t="n">
        <v>45547</v>
      </c>
      <c r="B257" s="10" t="n">
        <f aca="false">YEAR(A257)</f>
        <v>2024</v>
      </c>
      <c r="C257" s="10" t="n">
        <f aca="false">MONTH(A257)</f>
        <v>9</v>
      </c>
      <c r="D257" s="10" t="str">
        <f aca="false">TEXT(A257,"mmm")</f>
        <v>Sep</v>
      </c>
      <c r="E257" s="10" t="str">
        <f aca="false">"Q"&amp;ROUNDUP(C257/3,0)</f>
        <v>Q3</v>
      </c>
      <c r="F257" s="10" t="str">
        <f aca="false">TEXT(A257,"ddd")</f>
        <v>Thu</v>
      </c>
      <c r="G257" s="10" t="str">
        <f aca="false">IF(WEEKDAY(A257,2)&gt;5,"Yes","No")</f>
        <v>No</v>
      </c>
      <c r="H257" s="10"/>
    </row>
    <row r="258" customFormat="false" ht="15" hidden="false" customHeight="true" outlineLevel="0" collapsed="false">
      <c r="A258" s="11" t="n">
        <v>45548</v>
      </c>
      <c r="B258" s="10" t="n">
        <f aca="false">YEAR(A258)</f>
        <v>2024</v>
      </c>
      <c r="C258" s="10" t="n">
        <f aca="false">MONTH(A258)</f>
        <v>9</v>
      </c>
      <c r="D258" s="10" t="str">
        <f aca="false">TEXT(A258,"mmm")</f>
        <v>Sep</v>
      </c>
      <c r="E258" s="10" t="str">
        <f aca="false">"Q"&amp;ROUNDUP(C258/3,0)</f>
        <v>Q3</v>
      </c>
      <c r="F258" s="10" t="str">
        <f aca="false">TEXT(A258,"ddd")</f>
        <v>Fri</v>
      </c>
      <c r="G258" s="10" t="str">
        <f aca="false">IF(WEEKDAY(A258,2)&gt;5,"Yes","No")</f>
        <v>No</v>
      </c>
      <c r="H258" s="10"/>
    </row>
    <row r="259" customFormat="false" ht="15" hidden="false" customHeight="true" outlineLevel="0" collapsed="false">
      <c r="A259" s="11" t="n">
        <v>45549</v>
      </c>
      <c r="B259" s="10" t="n">
        <f aca="false">YEAR(A259)</f>
        <v>2024</v>
      </c>
      <c r="C259" s="10" t="n">
        <f aca="false">MONTH(A259)</f>
        <v>9</v>
      </c>
      <c r="D259" s="10" t="str">
        <f aca="false">TEXT(A259,"mmm")</f>
        <v>Sep</v>
      </c>
      <c r="E259" s="10" t="str">
        <f aca="false">"Q"&amp;ROUNDUP(C259/3,0)</f>
        <v>Q3</v>
      </c>
      <c r="F259" s="10" t="str">
        <f aca="false">TEXT(A259,"ddd")</f>
        <v>Sat</v>
      </c>
      <c r="G259" s="10" t="str">
        <f aca="false">IF(WEEKDAY(A259,2)&gt;5,"Yes","No")</f>
        <v>Yes</v>
      </c>
      <c r="H259" s="10"/>
    </row>
    <row r="260" customFormat="false" ht="15" hidden="false" customHeight="true" outlineLevel="0" collapsed="false">
      <c r="A260" s="11" t="n">
        <v>45550</v>
      </c>
      <c r="B260" s="10" t="n">
        <f aca="false">YEAR(A260)</f>
        <v>2024</v>
      </c>
      <c r="C260" s="10" t="n">
        <f aca="false">MONTH(A260)</f>
        <v>9</v>
      </c>
      <c r="D260" s="10" t="str">
        <f aca="false">TEXT(A260,"mmm")</f>
        <v>Sep</v>
      </c>
      <c r="E260" s="10" t="str">
        <f aca="false">"Q"&amp;ROUNDUP(C260/3,0)</f>
        <v>Q3</v>
      </c>
      <c r="F260" s="10" t="str">
        <f aca="false">TEXT(A260,"ddd")</f>
        <v>Sun</v>
      </c>
      <c r="G260" s="10" t="str">
        <f aca="false">IF(WEEKDAY(A260,2)&gt;5,"Yes","No")</f>
        <v>Yes</v>
      </c>
      <c r="H260" s="10"/>
    </row>
    <row r="261" customFormat="false" ht="15" hidden="false" customHeight="true" outlineLevel="0" collapsed="false">
      <c r="A261" s="11" t="n">
        <v>45551</v>
      </c>
      <c r="B261" s="10" t="n">
        <f aca="false">YEAR(A261)</f>
        <v>2024</v>
      </c>
      <c r="C261" s="10" t="n">
        <f aca="false">MONTH(A261)</f>
        <v>9</v>
      </c>
      <c r="D261" s="10" t="str">
        <f aca="false">TEXT(A261,"mmm")</f>
        <v>Sep</v>
      </c>
      <c r="E261" s="10" t="str">
        <f aca="false">"Q"&amp;ROUNDUP(C261/3,0)</f>
        <v>Q3</v>
      </c>
      <c r="F261" s="10" t="str">
        <f aca="false">TEXT(A261,"ddd")</f>
        <v>Mon</v>
      </c>
      <c r="G261" s="10" t="str">
        <f aca="false">IF(WEEKDAY(A261,2)&gt;5,"Yes","No")</f>
        <v>No</v>
      </c>
      <c r="H261" s="10"/>
    </row>
    <row r="262" customFormat="false" ht="15" hidden="false" customHeight="true" outlineLevel="0" collapsed="false">
      <c r="A262" s="11" t="n">
        <v>45552</v>
      </c>
      <c r="B262" s="10" t="n">
        <f aca="false">YEAR(A262)</f>
        <v>2024</v>
      </c>
      <c r="C262" s="10" t="n">
        <f aca="false">MONTH(A262)</f>
        <v>9</v>
      </c>
      <c r="D262" s="10" t="str">
        <f aca="false">TEXT(A262,"mmm")</f>
        <v>Sep</v>
      </c>
      <c r="E262" s="10" t="str">
        <f aca="false">"Q"&amp;ROUNDUP(C262/3,0)</f>
        <v>Q3</v>
      </c>
      <c r="F262" s="10" t="str">
        <f aca="false">TEXT(A262,"ddd")</f>
        <v>Tue</v>
      </c>
      <c r="G262" s="10" t="str">
        <f aca="false">IF(WEEKDAY(A262,2)&gt;5,"Yes","No")</f>
        <v>No</v>
      </c>
      <c r="H262" s="10"/>
    </row>
    <row r="263" customFormat="false" ht="15" hidden="false" customHeight="true" outlineLevel="0" collapsed="false">
      <c r="A263" s="11" t="n">
        <v>45553</v>
      </c>
      <c r="B263" s="10" t="n">
        <f aca="false">YEAR(A263)</f>
        <v>2024</v>
      </c>
      <c r="C263" s="10" t="n">
        <f aca="false">MONTH(A263)</f>
        <v>9</v>
      </c>
      <c r="D263" s="10" t="str">
        <f aca="false">TEXT(A263,"mmm")</f>
        <v>Sep</v>
      </c>
      <c r="E263" s="10" t="str">
        <f aca="false">"Q"&amp;ROUNDUP(C263/3,0)</f>
        <v>Q3</v>
      </c>
      <c r="F263" s="10" t="str">
        <f aca="false">TEXT(A263,"ddd")</f>
        <v>Wed</v>
      </c>
      <c r="G263" s="10" t="str">
        <f aca="false">IF(WEEKDAY(A263,2)&gt;5,"Yes","No")</f>
        <v>No</v>
      </c>
      <c r="H263" s="10"/>
    </row>
    <row r="264" customFormat="false" ht="15" hidden="false" customHeight="true" outlineLevel="0" collapsed="false">
      <c r="A264" s="11" t="n">
        <v>45554</v>
      </c>
      <c r="B264" s="10" t="n">
        <f aca="false">YEAR(A264)</f>
        <v>2024</v>
      </c>
      <c r="C264" s="10" t="n">
        <f aca="false">MONTH(A264)</f>
        <v>9</v>
      </c>
      <c r="D264" s="10" t="str">
        <f aca="false">TEXT(A264,"mmm")</f>
        <v>Sep</v>
      </c>
      <c r="E264" s="10" t="str">
        <f aca="false">"Q"&amp;ROUNDUP(C264/3,0)</f>
        <v>Q3</v>
      </c>
      <c r="F264" s="10" t="str">
        <f aca="false">TEXT(A264,"ddd")</f>
        <v>Thu</v>
      </c>
      <c r="G264" s="10" t="str">
        <f aca="false">IF(WEEKDAY(A264,2)&gt;5,"Yes","No")</f>
        <v>No</v>
      </c>
      <c r="H264" s="10"/>
    </row>
    <row r="265" customFormat="false" ht="15" hidden="false" customHeight="true" outlineLevel="0" collapsed="false">
      <c r="A265" s="11" t="n">
        <v>45555</v>
      </c>
      <c r="B265" s="10" t="n">
        <f aca="false">YEAR(A265)</f>
        <v>2024</v>
      </c>
      <c r="C265" s="10" t="n">
        <f aca="false">MONTH(A265)</f>
        <v>9</v>
      </c>
      <c r="D265" s="10" t="str">
        <f aca="false">TEXT(A265,"mmm")</f>
        <v>Sep</v>
      </c>
      <c r="E265" s="10" t="str">
        <f aca="false">"Q"&amp;ROUNDUP(C265/3,0)</f>
        <v>Q3</v>
      </c>
      <c r="F265" s="10" t="str">
        <f aca="false">TEXT(A265,"ddd")</f>
        <v>Fri</v>
      </c>
      <c r="G265" s="10" t="str">
        <f aca="false">IF(WEEKDAY(A265,2)&gt;5,"Yes","No")</f>
        <v>No</v>
      </c>
      <c r="H265" s="10"/>
    </row>
    <row r="266" customFormat="false" ht="15" hidden="false" customHeight="true" outlineLevel="0" collapsed="false">
      <c r="A266" s="11" t="n">
        <v>45556</v>
      </c>
      <c r="B266" s="10" t="n">
        <f aca="false">YEAR(A266)</f>
        <v>2024</v>
      </c>
      <c r="C266" s="10" t="n">
        <f aca="false">MONTH(A266)</f>
        <v>9</v>
      </c>
      <c r="D266" s="10" t="str">
        <f aca="false">TEXT(A266,"mmm")</f>
        <v>Sep</v>
      </c>
      <c r="E266" s="10" t="str">
        <f aca="false">"Q"&amp;ROUNDUP(C266/3,0)</f>
        <v>Q3</v>
      </c>
      <c r="F266" s="10" t="str">
        <f aca="false">TEXT(A266,"ddd")</f>
        <v>Sat</v>
      </c>
      <c r="G266" s="10" t="str">
        <f aca="false">IF(WEEKDAY(A266,2)&gt;5,"Yes","No")</f>
        <v>Yes</v>
      </c>
      <c r="H266" s="10"/>
    </row>
    <row r="267" customFormat="false" ht="15" hidden="false" customHeight="true" outlineLevel="0" collapsed="false">
      <c r="A267" s="11" t="n">
        <v>45557</v>
      </c>
      <c r="B267" s="10" t="n">
        <f aca="false">YEAR(A267)</f>
        <v>2024</v>
      </c>
      <c r="C267" s="10" t="n">
        <f aca="false">MONTH(A267)</f>
        <v>9</v>
      </c>
      <c r="D267" s="10" t="str">
        <f aca="false">TEXT(A267,"mmm")</f>
        <v>Sep</v>
      </c>
      <c r="E267" s="10" t="str">
        <f aca="false">"Q"&amp;ROUNDUP(C267/3,0)</f>
        <v>Q3</v>
      </c>
      <c r="F267" s="10" t="str">
        <f aca="false">TEXT(A267,"ddd")</f>
        <v>Sun</v>
      </c>
      <c r="G267" s="10" t="str">
        <f aca="false">IF(WEEKDAY(A267,2)&gt;5,"Yes","No")</f>
        <v>Yes</v>
      </c>
      <c r="H267" s="10"/>
    </row>
    <row r="268" customFormat="false" ht="15" hidden="false" customHeight="true" outlineLevel="0" collapsed="false">
      <c r="A268" s="11" t="n">
        <v>45558</v>
      </c>
      <c r="B268" s="10" t="n">
        <f aca="false">YEAR(A268)</f>
        <v>2024</v>
      </c>
      <c r="C268" s="10" t="n">
        <f aca="false">MONTH(A268)</f>
        <v>9</v>
      </c>
      <c r="D268" s="10" t="str">
        <f aca="false">TEXT(A268,"mmm")</f>
        <v>Sep</v>
      </c>
      <c r="E268" s="10" t="str">
        <f aca="false">"Q"&amp;ROUNDUP(C268/3,0)</f>
        <v>Q3</v>
      </c>
      <c r="F268" s="10" t="str">
        <f aca="false">TEXT(A268,"ddd")</f>
        <v>Mon</v>
      </c>
      <c r="G268" s="10" t="str">
        <f aca="false">IF(WEEKDAY(A268,2)&gt;5,"Yes","No")</f>
        <v>No</v>
      </c>
      <c r="H268" s="10"/>
    </row>
    <row r="269" customFormat="false" ht="15" hidden="false" customHeight="true" outlineLevel="0" collapsed="false">
      <c r="A269" s="11" t="n">
        <v>45559</v>
      </c>
      <c r="B269" s="10" t="n">
        <f aca="false">YEAR(A269)</f>
        <v>2024</v>
      </c>
      <c r="C269" s="10" t="n">
        <f aca="false">MONTH(A269)</f>
        <v>9</v>
      </c>
      <c r="D269" s="10" t="str">
        <f aca="false">TEXT(A269,"mmm")</f>
        <v>Sep</v>
      </c>
      <c r="E269" s="10" t="str">
        <f aca="false">"Q"&amp;ROUNDUP(C269/3,0)</f>
        <v>Q3</v>
      </c>
      <c r="F269" s="10" t="str">
        <f aca="false">TEXT(A269,"ddd")</f>
        <v>Tue</v>
      </c>
      <c r="G269" s="10" t="str">
        <f aca="false">IF(WEEKDAY(A269,2)&gt;5,"Yes","No")</f>
        <v>No</v>
      </c>
      <c r="H269" s="10" t="s">
        <v>1001</v>
      </c>
    </row>
    <row r="270" customFormat="false" ht="15" hidden="false" customHeight="true" outlineLevel="0" collapsed="false">
      <c r="A270" s="11" t="n">
        <v>45560</v>
      </c>
      <c r="B270" s="10" t="n">
        <f aca="false">YEAR(A270)</f>
        <v>2024</v>
      </c>
      <c r="C270" s="10" t="n">
        <f aca="false">MONTH(A270)</f>
        <v>9</v>
      </c>
      <c r="D270" s="10" t="str">
        <f aca="false">TEXT(A270,"mmm")</f>
        <v>Sep</v>
      </c>
      <c r="E270" s="10" t="str">
        <f aca="false">"Q"&amp;ROUNDUP(C270/3,0)</f>
        <v>Q3</v>
      </c>
      <c r="F270" s="10" t="str">
        <f aca="false">TEXT(A270,"ddd")</f>
        <v>Wed</v>
      </c>
      <c r="G270" s="10" t="str">
        <f aca="false">IF(WEEKDAY(A270,2)&gt;5,"Yes","No")</f>
        <v>No</v>
      </c>
      <c r="H270" s="10"/>
    </row>
    <row r="271" customFormat="false" ht="15" hidden="false" customHeight="true" outlineLevel="0" collapsed="false">
      <c r="A271" s="11" t="n">
        <v>45561</v>
      </c>
      <c r="B271" s="10" t="n">
        <f aca="false">YEAR(A271)</f>
        <v>2024</v>
      </c>
      <c r="C271" s="10" t="n">
        <f aca="false">MONTH(A271)</f>
        <v>9</v>
      </c>
      <c r="D271" s="10" t="str">
        <f aca="false">TEXT(A271,"mmm")</f>
        <v>Sep</v>
      </c>
      <c r="E271" s="10" t="str">
        <f aca="false">"Q"&amp;ROUNDUP(C271/3,0)</f>
        <v>Q3</v>
      </c>
      <c r="F271" s="10" t="str">
        <f aca="false">TEXT(A271,"ddd")</f>
        <v>Thu</v>
      </c>
      <c r="G271" s="10" t="str">
        <f aca="false">IF(WEEKDAY(A271,2)&gt;5,"Yes","No")</f>
        <v>No</v>
      </c>
      <c r="H271" s="10"/>
    </row>
    <row r="272" customFormat="false" ht="15" hidden="false" customHeight="true" outlineLevel="0" collapsed="false">
      <c r="A272" s="11" t="n">
        <v>45562</v>
      </c>
      <c r="B272" s="10" t="n">
        <f aca="false">YEAR(A272)</f>
        <v>2024</v>
      </c>
      <c r="C272" s="10" t="n">
        <f aca="false">MONTH(A272)</f>
        <v>9</v>
      </c>
      <c r="D272" s="10" t="str">
        <f aca="false">TEXT(A272,"mmm")</f>
        <v>Sep</v>
      </c>
      <c r="E272" s="10" t="str">
        <f aca="false">"Q"&amp;ROUNDUP(C272/3,0)</f>
        <v>Q3</v>
      </c>
      <c r="F272" s="10" t="str">
        <f aca="false">TEXT(A272,"ddd")</f>
        <v>Fri</v>
      </c>
      <c r="G272" s="10" t="str">
        <f aca="false">IF(WEEKDAY(A272,2)&gt;5,"Yes","No")</f>
        <v>No</v>
      </c>
      <c r="H272" s="10"/>
    </row>
    <row r="273" customFormat="false" ht="15" hidden="false" customHeight="true" outlineLevel="0" collapsed="false">
      <c r="A273" s="11" t="n">
        <v>45563</v>
      </c>
      <c r="B273" s="10" t="n">
        <f aca="false">YEAR(A273)</f>
        <v>2024</v>
      </c>
      <c r="C273" s="10" t="n">
        <f aca="false">MONTH(A273)</f>
        <v>9</v>
      </c>
      <c r="D273" s="10" t="str">
        <f aca="false">TEXT(A273,"mmm")</f>
        <v>Sep</v>
      </c>
      <c r="E273" s="10" t="str">
        <f aca="false">"Q"&amp;ROUNDUP(C273/3,0)</f>
        <v>Q3</v>
      </c>
      <c r="F273" s="10" t="str">
        <f aca="false">TEXT(A273,"ddd")</f>
        <v>Sat</v>
      </c>
      <c r="G273" s="10" t="str">
        <f aca="false">IF(WEEKDAY(A273,2)&gt;5,"Yes","No")</f>
        <v>Yes</v>
      </c>
      <c r="H273" s="10"/>
    </row>
    <row r="274" customFormat="false" ht="15" hidden="false" customHeight="true" outlineLevel="0" collapsed="false">
      <c r="A274" s="11" t="n">
        <v>45564</v>
      </c>
      <c r="B274" s="10" t="n">
        <f aca="false">YEAR(A274)</f>
        <v>2024</v>
      </c>
      <c r="C274" s="10" t="n">
        <f aca="false">MONTH(A274)</f>
        <v>9</v>
      </c>
      <c r="D274" s="10" t="str">
        <f aca="false">TEXT(A274,"mmm")</f>
        <v>Sep</v>
      </c>
      <c r="E274" s="10" t="str">
        <f aca="false">"Q"&amp;ROUNDUP(C274/3,0)</f>
        <v>Q3</v>
      </c>
      <c r="F274" s="10" t="str">
        <f aca="false">TEXT(A274,"ddd")</f>
        <v>Sun</v>
      </c>
      <c r="G274" s="10" t="str">
        <f aca="false">IF(WEEKDAY(A274,2)&gt;5,"Yes","No")</f>
        <v>Yes</v>
      </c>
      <c r="H274" s="10"/>
    </row>
    <row r="275" customFormat="false" ht="15" hidden="false" customHeight="true" outlineLevel="0" collapsed="false">
      <c r="A275" s="11" t="n">
        <v>45565</v>
      </c>
      <c r="B275" s="10" t="n">
        <f aca="false">YEAR(A275)</f>
        <v>2024</v>
      </c>
      <c r="C275" s="10" t="n">
        <f aca="false">MONTH(A275)</f>
        <v>9</v>
      </c>
      <c r="D275" s="10" t="str">
        <f aca="false">TEXT(A275,"mmm")</f>
        <v>Sep</v>
      </c>
      <c r="E275" s="10" t="str">
        <f aca="false">"Q"&amp;ROUNDUP(C275/3,0)</f>
        <v>Q3</v>
      </c>
      <c r="F275" s="10" t="str">
        <f aca="false">TEXT(A275,"ddd")</f>
        <v>Mon</v>
      </c>
      <c r="G275" s="10" t="str">
        <f aca="false">IF(WEEKDAY(A275,2)&gt;5,"Yes","No")</f>
        <v>No</v>
      </c>
      <c r="H275" s="10"/>
    </row>
    <row r="276" customFormat="false" ht="15" hidden="false" customHeight="true" outlineLevel="0" collapsed="false">
      <c r="A276" s="11" t="n">
        <v>45566</v>
      </c>
      <c r="B276" s="10" t="n">
        <f aca="false">YEAR(A276)</f>
        <v>2024</v>
      </c>
      <c r="C276" s="10" t="n">
        <f aca="false">MONTH(A276)</f>
        <v>10</v>
      </c>
      <c r="D276" s="10" t="str">
        <f aca="false">TEXT(A276,"mmm")</f>
        <v>Oct</v>
      </c>
      <c r="E276" s="10" t="str">
        <f aca="false">"Q"&amp;ROUNDUP(C276/3,0)</f>
        <v>Q4</v>
      </c>
      <c r="F276" s="10" t="str">
        <f aca="false">TEXT(A276,"ddd")</f>
        <v>Tue</v>
      </c>
      <c r="G276" s="10" t="str">
        <f aca="false">IF(WEEKDAY(A276,2)&gt;5,"Yes","No")</f>
        <v>No</v>
      </c>
      <c r="H276" s="10"/>
    </row>
    <row r="277" customFormat="false" ht="15" hidden="false" customHeight="true" outlineLevel="0" collapsed="false">
      <c r="A277" s="11" t="n">
        <v>45567</v>
      </c>
      <c r="B277" s="10" t="n">
        <f aca="false">YEAR(A277)</f>
        <v>2024</v>
      </c>
      <c r="C277" s="10" t="n">
        <f aca="false">MONTH(A277)</f>
        <v>10</v>
      </c>
      <c r="D277" s="10" t="str">
        <f aca="false">TEXT(A277,"mmm")</f>
        <v>Oct</v>
      </c>
      <c r="E277" s="10" t="str">
        <f aca="false">"Q"&amp;ROUNDUP(C277/3,0)</f>
        <v>Q4</v>
      </c>
      <c r="F277" s="10" t="str">
        <f aca="false">TEXT(A277,"ddd")</f>
        <v>Wed</v>
      </c>
      <c r="G277" s="10" t="str">
        <f aca="false">IF(WEEKDAY(A277,2)&gt;5,"Yes","No")</f>
        <v>No</v>
      </c>
      <c r="H277" s="10"/>
    </row>
    <row r="278" customFormat="false" ht="15" hidden="false" customHeight="true" outlineLevel="0" collapsed="false">
      <c r="A278" s="11" t="n">
        <v>45568</v>
      </c>
      <c r="B278" s="10" t="n">
        <f aca="false">YEAR(A278)</f>
        <v>2024</v>
      </c>
      <c r="C278" s="10" t="n">
        <f aca="false">MONTH(A278)</f>
        <v>10</v>
      </c>
      <c r="D278" s="10" t="str">
        <f aca="false">TEXT(A278,"mmm")</f>
        <v>Oct</v>
      </c>
      <c r="E278" s="10" t="str">
        <f aca="false">"Q"&amp;ROUNDUP(C278/3,0)</f>
        <v>Q4</v>
      </c>
      <c r="F278" s="10" t="str">
        <f aca="false">TEXT(A278,"ddd")</f>
        <v>Thu</v>
      </c>
      <c r="G278" s="10" t="str">
        <f aca="false">IF(WEEKDAY(A278,2)&gt;5,"Yes","No")</f>
        <v>No</v>
      </c>
      <c r="H278" s="10"/>
    </row>
    <row r="279" customFormat="false" ht="15" hidden="false" customHeight="true" outlineLevel="0" collapsed="false">
      <c r="A279" s="11" t="n">
        <v>45569</v>
      </c>
      <c r="B279" s="10" t="n">
        <f aca="false">YEAR(A279)</f>
        <v>2024</v>
      </c>
      <c r="C279" s="10" t="n">
        <f aca="false">MONTH(A279)</f>
        <v>10</v>
      </c>
      <c r="D279" s="10" t="str">
        <f aca="false">TEXT(A279,"mmm")</f>
        <v>Oct</v>
      </c>
      <c r="E279" s="10" t="str">
        <f aca="false">"Q"&amp;ROUNDUP(C279/3,0)</f>
        <v>Q4</v>
      </c>
      <c r="F279" s="10" t="str">
        <f aca="false">TEXT(A279,"ddd")</f>
        <v>Fri</v>
      </c>
      <c r="G279" s="10" t="str">
        <f aca="false">IF(WEEKDAY(A279,2)&gt;5,"Yes","No")</f>
        <v>No</v>
      </c>
      <c r="H279" s="10"/>
    </row>
    <row r="280" customFormat="false" ht="15" hidden="false" customHeight="true" outlineLevel="0" collapsed="false">
      <c r="A280" s="11" t="n">
        <v>45570</v>
      </c>
      <c r="B280" s="10" t="n">
        <f aca="false">YEAR(A280)</f>
        <v>2024</v>
      </c>
      <c r="C280" s="10" t="n">
        <f aca="false">MONTH(A280)</f>
        <v>10</v>
      </c>
      <c r="D280" s="10" t="str">
        <f aca="false">TEXT(A280,"mmm")</f>
        <v>Oct</v>
      </c>
      <c r="E280" s="10" t="str">
        <f aca="false">"Q"&amp;ROUNDUP(C280/3,0)</f>
        <v>Q4</v>
      </c>
      <c r="F280" s="10" t="str">
        <f aca="false">TEXT(A280,"ddd")</f>
        <v>Sat</v>
      </c>
      <c r="G280" s="10" t="str">
        <f aca="false">IF(WEEKDAY(A280,2)&gt;5,"Yes","No")</f>
        <v>Yes</v>
      </c>
      <c r="H280" s="10"/>
    </row>
    <row r="281" customFormat="false" ht="15" hidden="false" customHeight="true" outlineLevel="0" collapsed="false">
      <c r="A281" s="11" t="n">
        <v>45571</v>
      </c>
      <c r="B281" s="10" t="n">
        <f aca="false">YEAR(A281)</f>
        <v>2024</v>
      </c>
      <c r="C281" s="10" t="n">
        <f aca="false">MONTH(A281)</f>
        <v>10</v>
      </c>
      <c r="D281" s="10" t="str">
        <f aca="false">TEXT(A281,"mmm")</f>
        <v>Oct</v>
      </c>
      <c r="E281" s="10" t="str">
        <f aca="false">"Q"&amp;ROUNDUP(C281/3,0)</f>
        <v>Q4</v>
      </c>
      <c r="F281" s="10" t="str">
        <f aca="false">TEXT(A281,"ddd")</f>
        <v>Sun</v>
      </c>
      <c r="G281" s="10" t="str">
        <f aca="false">IF(WEEKDAY(A281,2)&gt;5,"Yes","No")</f>
        <v>Yes</v>
      </c>
      <c r="H281" s="10"/>
    </row>
    <row r="282" customFormat="false" ht="15" hidden="false" customHeight="true" outlineLevel="0" collapsed="false">
      <c r="A282" s="11" t="n">
        <v>45572</v>
      </c>
      <c r="B282" s="10" t="n">
        <f aca="false">YEAR(A282)</f>
        <v>2024</v>
      </c>
      <c r="C282" s="10" t="n">
        <f aca="false">MONTH(A282)</f>
        <v>10</v>
      </c>
      <c r="D282" s="10" t="str">
        <f aca="false">TEXT(A282,"mmm")</f>
        <v>Oct</v>
      </c>
      <c r="E282" s="10" t="str">
        <f aca="false">"Q"&amp;ROUNDUP(C282/3,0)</f>
        <v>Q4</v>
      </c>
      <c r="F282" s="10" t="str">
        <f aca="false">TEXT(A282,"ddd")</f>
        <v>Mon</v>
      </c>
      <c r="G282" s="10" t="str">
        <f aca="false">IF(WEEKDAY(A282,2)&gt;5,"Yes","No")</f>
        <v>No</v>
      </c>
      <c r="H282" s="10"/>
    </row>
    <row r="283" customFormat="false" ht="15" hidden="false" customHeight="true" outlineLevel="0" collapsed="false">
      <c r="A283" s="11" t="n">
        <v>45573</v>
      </c>
      <c r="B283" s="10" t="n">
        <f aca="false">YEAR(A283)</f>
        <v>2024</v>
      </c>
      <c r="C283" s="10" t="n">
        <f aca="false">MONTH(A283)</f>
        <v>10</v>
      </c>
      <c r="D283" s="10" t="str">
        <f aca="false">TEXT(A283,"mmm")</f>
        <v>Oct</v>
      </c>
      <c r="E283" s="10" t="str">
        <f aca="false">"Q"&amp;ROUNDUP(C283/3,0)</f>
        <v>Q4</v>
      </c>
      <c r="F283" s="10" t="str">
        <f aca="false">TEXT(A283,"ddd")</f>
        <v>Tue</v>
      </c>
      <c r="G283" s="10" t="str">
        <f aca="false">IF(WEEKDAY(A283,2)&gt;5,"Yes","No")</f>
        <v>No</v>
      </c>
      <c r="H283" s="10"/>
    </row>
    <row r="284" customFormat="false" ht="15" hidden="false" customHeight="true" outlineLevel="0" collapsed="false">
      <c r="A284" s="11" t="n">
        <v>45574</v>
      </c>
      <c r="B284" s="10" t="n">
        <f aca="false">YEAR(A284)</f>
        <v>2024</v>
      </c>
      <c r="C284" s="10" t="n">
        <f aca="false">MONTH(A284)</f>
        <v>10</v>
      </c>
      <c r="D284" s="10" t="str">
        <f aca="false">TEXT(A284,"mmm")</f>
        <v>Oct</v>
      </c>
      <c r="E284" s="10" t="str">
        <f aca="false">"Q"&amp;ROUNDUP(C284/3,0)</f>
        <v>Q4</v>
      </c>
      <c r="F284" s="10" t="str">
        <f aca="false">TEXT(A284,"ddd")</f>
        <v>Wed</v>
      </c>
      <c r="G284" s="10" t="str">
        <f aca="false">IF(WEEKDAY(A284,2)&gt;5,"Yes","No")</f>
        <v>No</v>
      </c>
      <c r="H284" s="10"/>
    </row>
    <row r="285" customFormat="false" ht="15" hidden="false" customHeight="true" outlineLevel="0" collapsed="false">
      <c r="A285" s="11" t="n">
        <v>45575</v>
      </c>
      <c r="B285" s="10" t="n">
        <f aca="false">YEAR(A285)</f>
        <v>2024</v>
      </c>
      <c r="C285" s="10" t="n">
        <f aca="false">MONTH(A285)</f>
        <v>10</v>
      </c>
      <c r="D285" s="10" t="str">
        <f aca="false">TEXT(A285,"mmm")</f>
        <v>Oct</v>
      </c>
      <c r="E285" s="10" t="str">
        <f aca="false">"Q"&amp;ROUNDUP(C285/3,0)</f>
        <v>Q4</v>
      </c>
      <c r="F285" s="10" t="str">
        <f aca="false">TEXT(A285,"ddd")</f>
        <v>Thu</v>
      </c>
      <c r="G285" s="10" t="str">
        <f aca="false">IF(WEEKDAY(A285,2)&gt;5,"Yes","No")</f>
        <v>No</v>
      </c>
      <c r="H285" s="10"/>
    </row>
    <row r="286" customFormat="false" ht="15" hidden="false" customHeight="true" outlineLevel="0" collapsed="false">
      <c r="A286" s="11" t="n">
        <v>45576</v>
      </c>
      <c r="B286" s="10" t="n">
        <f aca="false">YEAR(A286)</f>
        <v>2024</v>
      </c>
      <c r="C286" s="10" t="n">
        <f aca="false">MONTH(A286)</f>
        <v>10</v>
      </c>
      <c r="D286" s="10" t="str">
        <f aca="false">TEXT(A286,"mmm")</f>
        <v>Oct</v>
      </c>
      <c r="E286" s="10" t="str">
        <f aca="false">"Q"&amp;ROUNDUP(C286/3,0)</f>
        <v>Q4</v>
      </c>
      <c r="F286" s="10" t="str">
        <f aca="false">TEXT(A286,"ddd")</f>
        <v>Fri</v>
      </c>
      <c r="G286" s="10" t="str">
        <f aca="false">IF(WEEKDAY(A286,2)&gt;5,"Yes","No")</f>
        <v>No</v>
      </c>
      <c r="H286" s="10"/>
    </row>
    <row r="287" customFormat="false" ht="15" hidden="false" customHeight="true" outlineLevel="0" collapsed="false">
      <c r="A287" s="11" t="n">
        <v>45577</v>
      </c>
      <c r="B287" s="10" t="n">
        <f aca="false">YEAR(A287)</f>
        <v>2024</v>
      </c>
      <c r="C287" s="10" t="n">
        <f aca="false">MONTH(A287)</f>
        <v>10</v>
      </c>
      <c r="D287" s="10" t="str">
        <f aca="false">TEXT(A287,"mmm")</f>
        <v>Oct</v>
      </c>
      <c r="E287" s="10" t="str">
        <f aca="false">"Q"&amp;ROUNDUP(C287/3,0)</f>
        <v>Q4</v>
      </c>
      <c r="F287" s="10" t="str">
        <f aca="false">TEXT(A287,"ddd")</f>
        <v>Sat</v>
      </c>
      <c r="G287" s="10" t="str">
        <f aca="false">IF(WEEKDAY(A287,2)&gt;5,"Yes","No")</f>
        <v>Yes</v>
      </c>
      <c r="H287" s="10"/>
    </row>
    <row r="288" customFormat="false" ht="15" hidden="false" customHeight="true" outlineLevel="0" collapsed="false">
      <c r="A288" s="11" t="n">
        <v>45578</v>
      </c>
      <c r="B288" s="10" t="n">
        <f aca="false">YEAR(A288)</f>
        <v>2024</v>
      </c>
      <c r="C288" s="10" t="n">
        <f aca="false">MONTH(A288)</f>
        <v>10</v>
      </c>
      <c r="D288" s="10" t="str">
        <f aca="false">TEXT(A288,"mmm")</f>
        <v>Oct</v>
      </c>
      <c r="E288" s="10" t="str">
        <f aca="false">"Q"&amp;ROUNDUP(C288/3,0)</f>
        <v>Q4</v>
      </c>
      <c r="F288" s="10" t="str">
        <f aca="false">TEXT(A288,"ddd")</f>
        <v>Sun</v>
      </c>
      <c r="G288" s="10" t="str">
        <f aca="false">IF(WEEKDAY(A288,2)&gt;5,"Yes","No")</f>
        <v>Yes</v>
      </c>
      <c r="H288" s="10"/>
    </row>
    <row r="289" customFormat="false" ht="15" hidden="false" customHeight="true" outlineLevel="0" collapsed="false">
      <c r="A289" s="11" t="n">
        <v>45579</v>
      </c>
      <c r="B289" s="10" t="n">
        <f aca="false">YEAR(A289)</f>
        <v>2024</v>
      </c>
      <c r="C289" s="10" t="n">
        <f aca="false">MONTH(A289)</f>
        <v>10</v>
      </c>
      <c r="D289" s="10" t="str">
        <f aca="false">TEXT(A289,"mmm")</f>
        <v>Oct</v>
      </c>
      <c r="E289" s="10" t="str">
        <f aca="false">"Q"&amp;ROUNDUP(C289/3,0)</f>
        <v>Q4</v>
      </c>
      <c r="F289" s="10" t="str">
        <f aca="false">TEXT(A289,"ddd")</f>
        <v>Mon</v>
      </c>
      <c r="G289" s="10" t="str">
        <f aca="false">IF(WEEKDAY(A289,2)&gt;5,"Yes","No")</f>
        <v>No</v>
      </c>
      <c r="H289" s="10"/>
    </row>
    <row r="290" customFormat="false" ht="15" hidden="false" customHeight="true" outlineLevel="0" collapsed="false">
      <c r="A290" s="11" t="n">
        <v>45580</v>
      </c>
      <c r="B290" s="10" t="n">
        <f aca="false">YEAR(A290)</f>
        <v>2024</v>
      </c>
      <c r="C290" s="10" t="n">
        <f aca="false">MONTH(A290)</f>
        <v>10</v>
      </c>
      <c r="D290" s="10" t="str">
        <f aca="false">TEXT(A290,"mmm")</f>
        <v>Oct</v>
      </c>
      <c r="E290" s="10" t="str">
        <f aca="false">"Q"&amp;ROUNDUP(C290/3,0)</f>
        <v>Q4</v>
      </c>
      <c r="F290" s="10" t="str">
        <f aca="false">TEXT(A290,"ddd")</f>
        <v>Tue</v>
      </c>
      <c r="G290" s="10" t="str">
        <f aca="false">IF(WEEKDAY(A290,2)&gt;5,"Yes","No")</f>
        <v>No</v>
      </c>
      <c r="H290" s="10"/>
    </row>
    <row r="291" customFormat="false" ht="15" hidden="false" customHeight="true" outlineLevel="0" collapsed="false">
      <c r="A291" s="11" t="n">
        <v>45581</v>
      </c>
      <c r="B291" s="10" t="n">
        <f aca="false">YEAR(A291)</f>
        <v>2024</v>
      </c>
      <c r="C291" s="10" t="n">
        <f aca="false">MONTH(A291)</f>
        <v>10</v>
      </c>
      <c r="D291" s="10" t="str">
        <f aca="false">TEXT(A291,"mmm")</f>
        <v>Oct</v>
      </c>
      <c r="E291" s="10" t="str">
        <f aca="false">"Q"&amp;ROUNDUP(C291/3,0)</f>
        <v>Q4</v>
      </c>
      <c r="F291" s="10" t="str">
        <f aca="false">TEXT(A291,"ddd")</f>
        <v>Wed</v>
      </c>
      <c r="G291" s="10" t="str">
        <f aca="false">IF(WEEKDAY(A291,2)&gt;5,"Yes","No")</f>
        <v>No</v>
      </c>
      <c r="H291" s="10"/>
    </row>
    <row r="292" customFormat="false" ht="15" hidden="false" customHeight="true" outlineLevel="0" collapsed="false">
      <c r="A292" s="11" t="n">
        <v>45582</v>
      </c>
      <c r="B292" s="10" t="n">
        <f aca="false">YEAR(A292)</f>
        <v>2024</v>
      </c>
      <c r="C292" s="10" t="n">
        <f aca="false">MONTH(A292)</f>
        <v>10</v>
      </c>
      <c r="D292" s="10" t="str">
        <f aca="false">TEXT(A292,"mmm")</f>
        <v>Oct</v>
      </c>
      <c r="E292" s="10" t="str">
        <f aca="false">"Q"&amp;ROUNDUP(C292/3,0)</f>
        <v>Q4</v>
      </c>
      <c r="F292" s="10" t="str">
        <f aca="false">TEXT(A292,"ddd")</f>
        <v>Thu</v>
      </c>
      <c r="G292" s="10" t="str">
        <f aca="false">IF(WEEKDAY(A292,2)&gt;5,"Yes","No")</f>
        <v>No</v>
      </c>
      <c r="H292" s="10"/>
    </row>
    <row r="293" customFormat="false" ht="15" hidden="false" customHeight="true" outlineLevel="0" collapsed="false">
      <c r="A293" s="11" t="n">
        <v>45583</v>
      </c>
      <c r="B293" s="10" t="n">
        <f aca="false">YEAR(A293)</f>
        <v>2024</v>
      </c>
      <c r="C293" s="10" t="n">
        <f aca="false">MONTH(A293)</f>
        <v>10</v>
      </c>
      <c r="D293" s="10" t="str">
        <f aca="false">TEXT(A293,"mmm")</f>
        <v>Oct</v>
      </c>
      <c r="E293" s="10" t="str">
        <f aca="false">"Q"&amp;ROUNDUP(C293/3,0)</f>
        <v>Q4</v>
      </c>
      <c r="F293" s="10" t="str">
        <f aca="false">TEXT(A293,"ddd")</f>
        <v>Fri</v>
      </c>
      <c r="G293" s="10" t="str">
        <f aca="false">IF(WEEKDAY(A293,2)&gt;5,"Yes","No")</f>
        <v>No</v>
      </c>
      <c r="H293" s="10"/>
    </row>
    <row r="294" customFormat="false" ht="15" hidden="false" customHeight="true" outlineLevel="0" collapsed="false">
      <c r="A294" s="11" t="n">
        <v>45584</v>
      </c>
      <c r="B294" s="10" t="n">
        <f aca="false">YEAR(A294)</f>
        <v>2024</v>
      </c>
      <c r="C294" s="10" t="n">
        <f aca="false">MONTH(A294)</f>
        <v>10</v>
      </c>
      <c r="D294" s="10" t="str">
        <f aca="false">TEXT(A294,"mmm")</f>
        <v>Oct</v>
      </c>
      <c r="E294" s="10" t="str">
        <f aca="false">"Q"&amp;ROUNDUP(C294/3,0)</f>
        <v>Q4</v>
      </c>
      <c r="F294" s="10" t="str">
        <f aca="false">TEXT(A294,"ddd")</f>
        <v>Sat</v>
      </c>
      <c r="G294" s="10" t="str">
        <f aca="false">IF(WEEKDAY(A294,2)&gt;5,"Yes","No")</f>
        <v>Yes</v>
      </c>
      <c r="H294" s="10"/>
    </row>
    <row r="295" customFormat="false" ht="15" hidden="false" customHeight="true" outlineLevel="0" collapsed="false">
      <c r="A295" s="11" t="n">
        <v>45585</v>
      </c>
      <c r="B295" s="10" t="n">
        <f aca="false">YEAR(A295)</f>
        <v>2024</v>
      </c>
      <c r="C295" s="10" t="n">
        <f aca="false">MONTH(A295)</f>
        <v>10</v>
      </c>
      <c r="D295" s="10" t="str">
        <f aca="false">TEXT(A295,"mmm")</f>
        <v>Oct</v>
      </c>
      <c r="E295" s="10" t="str">
        <f aca="false">"Q"&amp;ROUNDUP(C295/3,0)</f>
        <v>Q4</v>
      </c>
      <c r="F295" s="10" t="str">
        <f aca="false">TEXT(A295,"ddd")</f>
        <v>Sun</v>
      </c>
      <c r="G295" s="10" t="str">
        <f aca="false">IF(WEEKDAY(A295,2)&gt;5,"Yes","No")</f>
        <v>Yes</v>
      </c>
      <c r="H295" s="10"/>
    </row>
    <row r="296" customFormat="false" ht="15" hidden="false" customHeight="true" outlineLevel="0" collapsed="false">
      <c r="A296" s="11" t="n">
        <v>45586</v>
      </c>
      <c r="B296" s="10" t="n">
        <f aca="false">YEAR(A296)</f>
        <v>2024</v>
      </c>
      <c r="C296" s="10" t="n">
        <f aca="false">MONTH(A296)</f>
        <v>10</v>
      </c>
      <c r="D296" s="10" t="str">
        <f aca="false">TEXT(A296,"mmm")</f>
        <v>Oct</v>
      </c>
      <c r="E296" s="10" t="str">
        <f aca="false">"Q"&amp;ROUNDUP(C296/3,0)</f>
        <v>Q4</v>
      </c>
      <c r="F296" s="10" t="str">
        <f aca="false">TEXT(A296,"ddd")</f>
        <v>Mon</v>
      </c>
      <c r="G296" s="10" t="str">
        <f aca="false">IF(WEEKDAY(A296,2)&gt;5,"Yes","No")</f>
        <v>No</v>
      </c>
      <c r="H296" s="10"/>
    </row>
    <row r="297" customFormat="false" ht="15" hidden="false" customHeight="true" outlineLevel="0" collapsed="false">
      <c r="A297" s="11" t="n">
        <v>45587</v>
      </c>
      <c r="B297" s="10" t="n">
        <f aca="false">YEAR(A297)</f>
        <v>2024</v>
      </c>
      <c r="C297" s="10" t="n">
        <f aca="false">MONTH(A297)</f>
        <v>10</v>
      </c>
      <c r="D297" s="10" t="str">
        <f aca="false">TEXT(A297,"mmm")</f>
        <v>Oct</v>
      </c>
      <c r="E297" s="10" t="str">
        <f aca="false">"Q"&amp;ROUNDUP(C297/3,0)</f>
        <v>Q4</v>
      </c>
      <c r="F297" s="10" t="str">
        <f aca="false">TEXT(A297,"ddd")</f>
        <v>Tue</v>
      </c>
      <c r="G297" s="10" t="str">
        <f aca="false">IF(WEEKDAY(A297,2)&gt;5,"Yes","No")</f>
        <v>No</v>
      </c>
      <c r="H297" s="10"/>
    </row>
    <row r="298" customFormat="false" ht="15" hidden="false" customHeight="true" outlineLevel="0" collapsed="false">
      <c r="A298" s="11" t="n">
        <v>45588</v>
      </c>
      <c r="B298" s="10" t="n">
        <f aca="false">YEAR(A298)</f>
        <v>2024</v>
      </c>
      <c r="C298" s="10" t="n">
        <f aca="false">MONTH(A298)</f>
        <v>10</v>
      </c>
      <c r="D298" s="10" t="str">
        <f aca="false">TEXT(A298,"mmm")</f>
        <v>Oct</v>
      </c>
      <c r="E298" s="10" t="str">
        <f aca="false">"Q"&amp;ROUNDUP(C298/3,0)</f>
        <v>Q4</v>
      </c>
      <c r="F298" s="10" t="str">
        <f aca="false">TEXT(A298,"ddd")</f>
        <v>Wed</v>
      </c>
      <c r="G298" s="10" t="str">
        <f aca="false">IF(WEEKDAY(A298,2)&gt;5,"Yes","No")</f>
        <v>No</v>
      </c>
      <c r="H298" s="10"/>
    </row>
    <row r="299" customFormat="false" ht="15" hidden="false" customHeight="true" outlineLevel="0" collapsed="false">
      <c r="A299" s="11" t="n">
        <v>45589</v>
      </c>
      <c r="B299" s="10" t="n">
        <f aca="false">YEAR(A299)</f>
        <v>2024</v>
      </c>
      <c r="C299" s="10" t="n">
        <f aca="false">MONTH(A299)</f>
        <v>10</v>
      </c>
      <c r="D299" s="10" t="str">
        <f aca="false">TEXT(A299,"mmm")</f>
        <v>Oct</v>
      </c>
      <c r="E299" s="10" t="str">
        <f aca="false">"Q"&amp;ROUNDUP(C299/3,0)</f>
        <v>Q4</v>
      </c>
      <c r="F299" s="10" t="str">
        <f aca="false">TEXT(A299,"ddd")</f>
        <v>Thu</v>
      </c>
      <c r="G299" s="10" t="str">
        <f aca="false">IF(WEEKDAY(A299,2)&gt;5,"Yes","No")</f>
        <v>No</v>
      </c>
      <c r="H299" s="10"/>
    </row>
    <row r="300" customFormat="false" ht="15" hidden="false" customHeight="true" outlineLevel="0" collapsed="false">
      <c r="A300" s="11" t="n">
        <v>45590</v>
      </c>
      <c r="B300" s="10" t="n">
        <f aca="false">YEAR(A300)</f>
        <v>2024</v>
      </c>
      <c r="C300" s="10" t="n">
        <f aca="false">MONTH(A300)</f>
        <v>10</v>
      </c>
      <c r="D300" s="10" t="str">
        <f aca="false">TEXT(A300,"mmm")</f>
        <v>Oct</v>
      </c>
      <c r="E300" s="10" t="str">
        <f aca="false">"Q"&amp;ROUNDUP(C300/3,0)</f>
        <v>Q4</v>
      </c>
      <c r="F300" s="10" t="str">
        <f aca="false">TEXT(A300,"ddd")</f>
        <v>Fri</v>
      </c>
      <c r="G300" s="10" t="str">
        <f aca="false">IF(WEEKDAY(A300,2)&gt;5,"Yes","No")</f>
        <v>No</v>
      </c>
      <c r="H300" s="10"/>
    </row>
    <row r="301" customFormat="false" ht="15" hidden="false" customHeight="true" outlineLevel="0" collapsed="false">
      <c r="A301" s="11" t="n">
        <v>45591</v>
      </c>
      <c r="B301" s="10" t="n">
        <f aca="false">YEAR(A301)</f>
        <v>2024</v>
      </c>
      <c r="C301" s="10" t="n">
        <f aca="false">MONTH(A301)</f>
        <v>10</v>
      </c>
      <c r="D301" s="10" t="str">
        <f aca="false">TEXT(A301,"mmm")</f>
        <v>Oct</v>
      </c>
      <c r="E301" s="10" t="str">
        <f aca="false">"Q"&amp;ROUNDUP(C301/3,0)</f>
        <v>Q4</v>
      </c>
      <c r="F301" s="10" t="str">
        <f aca="false">TEXT(A301,"ddd")</f>
        <v>Sat</v>
      </c>
      <c r="G301" s="10" t="str">
        <f aca="false">IF(WEEKDAY(A301,2)&gt;5,"Yes","No")</f>
        <v>Yes</v>
      </c>
      <c r="H301" s="10"/>
    </row>
    <row r="302" customFormat="false" ht="15" hidden="false" customHeight="true" outlineLevel="0" collapsed="false">
      <c r="A302" s="11" t="n">
        <v>45592</v>
      </c>
      <c r="B302" s="10" t="n">
        <f aca="false">YEAR(A302)</f>
        <v>2024</v>
      </c>
      <c r="C302" s="10" t="n">
        <f aca="false">MONTH(A302)</f>
        <v>10</v>
      </c>
      <c r="D302" s="10" t="str">
        <f aca="false">TEXT(A302,"mmm")</f>
        <v>Oct</v>
      </c>
      <c r="E302" s="10" t="str">
        <f aca="false">"Q"&amp;ROUNDUP(C302/3,0)</f>
        <v>Q4</v>
      </c>
      <c r="F302" s="10" t="str">
        <f aca="false">TEXT(A302,"ddd")</f>
        <v>Sun</v>
      </c>
      <c r="G302" s="10" t="str">
        <f aca="false">IF(WEEKDAY(A302,2)&gt;5,"Yes","No")</f>
        <v>Yes</v>
      </c>
      <c r="H302" s="10"/>
    </row>
    <row r="303" customFormat="false" ht="15" hidden="false" customHeight="true" outlineLevel="0" collapsed="false">
      <c r="A303" s="11" t="n">
        <v>45593</v>
      </c>
      <c r="B303" s="10" t="n">
        <f aca="false">YEAR(A303)</f>
        <v>2024</v>
      </c>
      <c r="C303" s="10" t="n">
        <f aca="false">MONTH(A303)</f>
        <v>10</v>
      </c>
      <c r="D303" s="10" t="str">
        <f aca="false">TEXT(A303,"mmm")</f>
        <v>Oct</v>
      </c>
      <c r="E303" s="10" t="str">
        <f aca="false">"Q"&amp;ROUNDUP(C303/3,0)</f>
        <v>Q4</v>
      </c>
      <c r="F303" s="10" t="str">
        <f aca="false">TEXT(A303,"ddd")</f>
        <v>Mon</v>
      </c>
      <c r="G303" s="10" t="str">
        <f aca="false">IF(WEEKDAY(A303,2)&gt;5,"Yes","No")</f>
        <v>No</v>
      </c>
      <c r="H303" s="10"/>
    </row>
    <row r="304" customFormat="false" ht="15" hidden="false" customHeight="true" outlineLevel="0" collapsed="false">
      <c r="A304" s="11" t="n">
        <v>45594</v>
      </c>
      <c r="B304" s="10" t="n">
        <f aca="false">YEAR(A304)</f>
        <v>2024</v>
      </c>
      <c r="C304" s="10" t="n">
        <f aca="false">MONTH(A304)</f>
        <v>10</v>
      </c>
      <c r="D304" s="10" t="str">
        <f aca="false">TEXT(A304,"mmm")</f>
        <v>Oct</v>
      </c>
      <c r="E304" s="10" t="str">
        <f aca="false">"Q"&amp;ROUNDUP(C304/3,0)</f>
        <v>Q4</v>
      </c>
      <c r="F304" s="10" t="str">
        <f aca="false">TEXT(A304,"ddd")</f>
        <v>Tue</v>
      </c>
      <c r="G304" s="10" t="str">
        <f aca="false">IF(WEEKDAY(A304,2)&gt;5,"Yes","No")</f>
        <v>No</v>
      </c>
      <c r="H304" s="10"/>
    </row>
    <row r="305" customFormat="false" ht="15" hidden="false" customHeight="true" outlineLevel="0" collapsed="false">
      <c r="A305" s="11" t="n">
        <v>45595</v>
      </c>
      <c r="B305" s="10" t="n">
        <f aca="false">YEAR(A305)</f>
        <v>2024</v>
      </c>
      <c r="C305" s="10" t="n">
        <f aca="false">MONTH(A305)</f>
        <v>10</v>
      </c>
      <c r="D305" s="10" t="str">
        <f aca="false">TEXT(A305,"mmm")</f>
        <v>Oct</v>
      </c>
      <c r="E305" s="10" t="str">
        <f aca="false">"Q"&amp;ROUNDUP(C305/3,0)</f>
        <v>Q4</v>
      </c>
      <c r="F305" s="10" t="str">
        <f aca="false">TEXT(A305,"ddd")</f>
        <v>Wed</v>
      </c>
      <c r="G305" s="10" t="str">
        <f aca="false">IF(WEEKDAY(A305,2)&gt;5,"Yes","No")</f>
        <v>No</v>
      </c>
      <c r="H305" s="10"/>
    </row>
    <row r="306" customFormat="false" ht="15" hidden="false" customHeight="true" outlineLevel="0" collapsed="false">
      <c r="A306" s="11" t="n">
        <v>45596</v>
      </c>
      <c r="B306" s="10" t="n">
        <f aca="false">YEAR(A306)</f>
        <v>2024</v>
      </c>
      <c r="C306" s="10" t="n">
        <f aca="false">MONTH(A306)</f>
        <v>10</v>
      </c>
      <c r="D306" s="10" t="str">
        <f aca="false">TEXT(A306,"mmm")</f>
        <v>Oct</v>
      </c>
      <c r="E306" s="10" t="str">
        <f aca="false">"Q"&amp;ROUNDUP(C306/3,0)</f>
        <v>Q4</v>
      </c>
      <c r="F306" s="10" t="str">
        <f aca="false">TEXT(A306,"ddd")</f>
        <v>Thu</v>
      </c>
      <c r="G306" s="10" t="str">
        <f aca="false">IF(WEEKDAY(A306,2)&gt;5,"Yes","No")</f>
        <v>No</v>
      </c>
      <c r="H306" s="10"/>
    </row>
    <row r="307" customFormat="false" ht="15" hidden="false" customHeight="true" outlineLevel="0" collapsed="false">
      <c r="A307" s="11" t="n">
        <v>45597</v>
      </c>
      <c r="B307" s="10" t="n">
        <f aca="false">YEAR(A307)</f>
        <v>2024</v>
      </c>
      <c r="C307" s="10" t="n">
        <f aca="false">MONTH(A307)</f>
        <v>11</v>
      </c>
      <c r="D307" s="10" t="str">
        <f aca="false">TEXT(A307,"mmm")</f>
        <v>Nov</v>
      </c>
      <c r="E307" s="10" t="str">
        <f aca="false">"Q"&amp;ROUNDUP(C307/3,0)</f>
        <v>Q4</v>
      </c>
      <c r="F307" s="10" t="str">
        <f aca="false">TEXT(A307,"ddd")</f>
        <v>Fri</v>
      </c>
      <c r="G307" s="10" t="str">
        <f aca="false">IF(WEEKDAY(A307,2)&gt;5,"Yes","No")</f>
        <v>No</v>
      </c>
      <c r="H307" s="10"/>
    </row>
    <row r="308" customFormat="false" ht="15" hidden="false" customHeight="true" outlineLevel="0" collapsed="false">
      <c r="A308" s="11" t="n">
        <v>45598</v>
      </c>
      <c r="B308" s="10" t="n">
        <f aca="false">YEAR(A308)</f>
        <v>2024</v>
      </c>
      <c r="C308" s="10" t="n">
        <f aca="false">MONTH(A308)</f>
        <v>11</v>
      </c>
      <c r="D308" s="10" t="str">
        <f aca="false">TEXT(A308,"mmm")</f>
        <v>Nov</v>
      </c>
      <c r="E308" s="10" t="str">
        <f aca="false">"Q"&amp;ROUNDUP(C308/3,0)</f>
        <v>Q4</v>
      </c>
      <c r="F308" s="10" t="str">
        <f aca="false">TEXT(A308,"ddd")</f>
        <v>Sat</v>
      </c>
      <c r="G308" s="10" t="str">
        <f aca="false">IF(WEEKDAY(A308,2)&gt;5,"Yes","No")</f>
        <v>Yes</v>
      </c>
      <c r="H308" s="10"/>
    </row>
    <row r="309" customFormat="false" ht="15" hidden="false" customHeight="true" outlineLevel="0" collapsed="false">
      <c r="A309" s="11" t="n">
        <v>45599</v>
      </c>
      <c r="B309" s="10" t="n">
        <f aca="false">YEAR(A309)</f>
        <v>2024</v>
      </c>
      <c r="C309" s="10" t="n">
        <f aca="false">MONTH(A309)</f>
        <v>11</v>
      </c>
      <c r="D309" s="10" t="str">
        <f aca="false">TEXT(A309,"mmm")</f>
        <v>Nov</v>
      </c>
      <c r="E309" s="10" t="str">
        <f aca="false">"Q"&amp;ROUNDUP(C309/3,0)</f>
        <v>Q4</v>
      </c>
      <c r="F309" s="10" t="str">
        <f aca="false">TEXT(A309,"ddd")</f>
        <v>Sun</v>
      </c>
      <c r="G309" s="10" t="str">
        <f aca="false">IF(WEEKDAY(A309,2)&gt;5,"Yes","No")</f>
        <v>Yes</v>
      </c>
      <c r="H309" s="10"/>
    </row>
    <row r="310" customFormat="false" ht="15" hidden="false" customHeight="true" outlineLevel="0" collapsed="false">
      <c r="A310" s="11" t="n">
        <v>45600</v>
      </c>
      <c r="B310" s="10" t="n">
        <f aca="false">YEAR(A310)</f>
        <v>2024</v>
      </c>
      <c r="C310" s="10" t="n">
        <f aca="false">MONTH(A310)</f>
        <v>11</v>
      </c>
      <c r="D310" s="10" t="str">
        <f aca="false">TEXT(A310,"mmm")</f>
        <v>Nov</v>
      </c>
      <c r="E310" s="10" t="str">
        <f aca="false">"Q"&amp;ROUNDUP(C310/3,0)</f>
        <v>Q4</v>
      </c>
      <c r="F310" s="10" t="str">
        <f aca="false">TEXT(A310,"ddd")</f>
        <v>Mon</v>
      </c>
      <c r="G310" s="10" t="str">
        <f aca="false">IF(WEEKDAY(A310,2)&gt;5,"Yes","No")</f>
        <v>No</v>
      </c>
      <c r="H310" s="10"/>
    </row>
    <row r="311" customFormat="false" ht="15" hidden="false" customHeight="true" outlineLevel="0" collapsed="false">
      <c r="A311" s="11" t="n">
        <v>45601</v>
      </c>
      <c r="B311" s="10" t="n">
        <f aca="false">YEAR(A311)</f>
        <v>2024</v>
      </c>
      <c r="C311" s="10" t="n">
        <f aca="false">MONTH(A311)</f>
        <v>11</v>
      </c>
      <c r="D311" s="10" t="str">
        <f aca="false">TEXT(A311,"mmm")</f>
        <v>Nov</v>
      </c>
      <c r="E311" s="10" t="str">
        <f aca="false">"Q"&amp;ROUNDUP(C311/3,0)</f>
        <v>Q4</v>
      </c>
      <c r="F311" s="10" t="str">
        <f aca="false">TEXT(A311,"ddd")</f>
        <v>Tue</v>
      </c>
      <c r="G311" s="10" t="str">
        <f aca="false">IF(WEEKDAY(A311,2)&gt;5,"Yes","No")</f>
        <v>No</v>
      </c>
      <c r="H311" s="10"/>
    </row>
    <row r="312" customFormat="false" ht="15" hidden="false" customHeight="true" outlineLevel="0" collapsed="false">
      <c r="A312" s="11" t="n">
        <v>45602</v>
      </c>
      <c r="B312" s="10" t="n">
        <f aca="false">YEAR(A312)</f>
        <v>2024</v>
      </c>
      <c r="C312" s="10" t="n">
        <f aca="false">MONTH(A312)</f>
        <v>11</v>
      </c>
      <c r="D312" s="10" t="str">
        <f aca="false">TEXT(A312,"mmm")</f>
        <v>Nov</v>
      </c>
      <c r="E312" s="10" t="str">
        <f aca="false">"Q"&amp;ROUNDUP(C312/3,0)</f>
        <v>Q4</v>
      </c>
      <c r="F312" s="10" t="str">
        <f aca="false">TEXT(A312,"ddd")</f>
        <v>Wed</v>
      </c>
      <c r="G312" s="10" t="str">
        <f aca="false">IF(WEEKDAY(A312,2)&gt;5,"Yes","No")</f>
        <v>No</v>
      </c>
      <c r="H312" s="10"/>
    </row>
    <row r="313" customFormat="false" ht="15" hidden="false" customHeight="true" outlineLevel="0" collapsed="false">
      <c r="A313" s="11" t="n">
        <v>45603</v>
      </c>
      <c r="B313" s="10" t="n">
        <f aca="false">YEAR(A313)</f>
        <v>2024</v>
      </c>
      <c r="C313" s="10" t="n">
        <f aca="false">MONTH(A313)</f>
        <v>11</v>
      </c>
      <c r="D313" s="10" t="str">
        <f aca="false">TEXT(A313,"mmm")</f>
        <v>Nov</v>
      </c>
      <c r="E313" s="10" t="str">
        <f aca="false">"Q"&amp;ROUNDUP(C313/3,0)</f>
        <v>Q4</v>
      </c>
      <c r="F313" s="10" t="str">
        <f aca="false">TEXT(A313,"ddd")</f>
        <v>Thu</v>
      </c>
      <c r="G313" s="10" t="str">
        <f aca="false">IF(WEEKDAY(A313,2)&gt;5,"Yes","No")</f>
        <v>No</v>
      </c>
      <c r="H313" s="10"/>
    </row>
    <row r="314" customFormat="false" ht="15" hidden="false" customHeight="true" outlineLevel="0" collapsed="false">
      <c r="A314" s="11" t="n">
        <v>45604</v>
      </c>
      <c r="B314" s="10" t="n">
        <f aca="false">YEAR(A314)</f>
        <v>2024</v>
      </c>
      <c r="C314" s="10" t="n">
        <f aca="false">MONTH(A314)</f>
        <v>11</v>
      </c>
      <c r="D314" s="10" t="str">
        <f aca="false">TEXT(A314,"mmm")</f>
        <v>Nov</v>
      </c>
      <c r="E314" s="10" t="str">
        <f aca="false">"Q"&amp;ROUNDUP(C314/3,0)</f>
        <v>Q4</v>
      </c>
      <c r="F314" s="10" t="str">
        <f aca="false">TEXT(A314,"ddd")</f>
        <v>Fri</v>
      </c>
      <c r="G314" s="10" t="str">
        <f aca="false">IF(WEEKDAY(A314,2)&gt;5,"Yes","No")</f>
        <v>No</v>
      </c>
      <c r="H314" s="10"/>
    </row>
    <row r="315" customFormat="false" ht="15" hidden="false" customHeight="true" outlineLevel="0" collapsed="false">
      <c r="A315" s="11" t="n">
        <v>45605</v>
      </c>
      <c r="B315" s="10" t="n">
        <f aca="false">YEAR(A315)</f>
        <v>2024</v>
      </c>
      <c r="C315" s="10" t="n">
        <f aca="false">MONTH(A315)</f>
        <v>11</v>
      </c>
      <c r="D315" s="10" t="str">
        <f aca="false">TEXT(A315,"mmm")</f>
        <v>Nov</v>
      </c>
      <c r="E315" s="10" t="str">
        <f aca="false">"Q"&amp;ROUNDUP(C315/3,0)</f>
        <v>Q4</v>
      </c>
      <c r="F315" s="10" t="str">
        <f aca="false">TEXT(A315,"ddd")</f>
        <v>Sat</v>
      </c>
      <c r="G315" s="10" t="str">
        <f aca="false">IF(WEEKDAY(A315,2)&gt;5,"Yes","No")</f>
        <v>Yes</v>
      </c>
      <c r="H315" s="10"/>
    </row>
    <row r="316" customFormat="false" ht="15" hidden="false" customHeight="true" outlineLevel="0" collapsed="false">
      <c r="A316" s="11" t="n">
        <v>45606</v>
      </c>
      <c r="B316" s="10" t="n">
        <f aca="false">YEAR(A316)</f>
        <v>2024</v>
      </c>
      <c r="C316" s="10" t="n">
        <f aca="false">MONTH(A316)</f>
        <v>11</v>
      </c>
      <c r="D316" s="10" t="str">
        <f aca="false">TEXT(A316,"mmm")</f>
        <v>Nov</v>
      </c>
      <c r="E316" s="10" t="str">
        <f aca="false">"Q"&amp;ROUNDUP(C316/3,0)</f>
        <v>Q4</v>
      </c>
      <c r="F316" s="10" t="str">
        <f aca="false">TEXT(A316,"ddd")</f>
        <v>Sun</v>
      </c>
      <c r="G316" s="10" t="str">
        <f aca="false">IF(WEEKDAY(A316,2)&gt;5,"Yes","No")</f>
        <v>Yes</v>
      </c>
      <c r="H316" s="10"/>
    </row>
    <row r="317" customFormat="false" ht="15" hidden="false" customHeight="true" outlineLevel="0" collapsed="false">
      <c r="A317" s="11" t="n">
        <v>45607</v>
      </c>
      <c r="B317" s="10" t="n">
        <f aca="false">YEAR(A317)</f>
        <v>2024</v>
      </c>
      <c r="C317" s="10" t="n">
        <f aca="false">MONTH(A317)</f>
        <v>11</v>
      </c>
      <c r="D317" s="10" t="str">
        <f aca="false">TEXT(A317,"mmm")</f>
        <v>Nov</v>
      </c>
      <c r="E317" s="10" t="str">
        <f aca="false">"Q"&amp;ROUNDUP(C317/3,0)</f>
        <v>Q4</v>
      </c>
      <c r="F317" s="10" t="str">
        <f aca="false">TEXT(A317,"ddd")</f>
        <v>Mon</v>
      </c>
      <c r="G317" s="10" t="str">
        <f aca="false">IF(WEEKDAY(A317,2)&gt;5,"Yes","No")</f>
        <v>No</v>
      </c>
      <c r="H317" s="10"/>
    </row>
    <row r="318" customFormat="false" ht="15" hidden="false" customHeight="true" outlineLevel="0" collapsed="false">
      <c r="A318" s="11" t="n">
        <v>45608</v>
      </c>
      <c r="B318" s="10" t="n">
        <f aca="false">YEAR(A318)</f>
        <v>2024</v>
      </c>
      <c r="C318" s="10" t="n">
        <f aca="false">MONTH(A318)</f>
        <v>11</v>
      </c>
      <c r="D318" s="10" t="str">
        <f aca="false">TEXT(A318,"mmm")</f>
        <v>Nov</v>
      </c>
      <c r="E318" s="10" t="str">
        <f aca="false">"Q"&amp;ROUNDUP(C318/3,0)</f>
        <v>Q4</v>
      </c>
      <c r="F318" s="10" t="str">
        <f aca="false">TEXT(A318,"ddd")</f>
        <v>Tue</v>
      </c>
      <c r="G318" s="10" t="str">
        <f aca="false">IF(WEEKDAY(A318,2)&gt;5,"Yes","No")</f>
        <v>No</v>
      </c>
      <c r="H318" s="10"/>
    </row>
    <row r="319" customFormat="false" ht="15" hidden="false" customHeight="true" outlineLevel="0" collapsed="false">
      <c r="A319" s="11" t="n">
        <v>45609</v>
      </c>
      <c r="B319" s="10" t="n">
        <f aca="false">YEAR(A319)</f>
        <v>2024</v>
      </c>
      <c r="C319" s="10" t="n">
        <f aca="false">MONTH(A319)</f>
        <v>11</v>
      </c>
      <c r="D319" s="10" t="str">
        <f aca="false">TEXT(A319,"mmm")</f>
        <v>Nov</v>
      </c>
      <c r="E319" s="10" t="str">
        <f aca="false">"Q"&amp;ROUNDUP(C319/3,0)</f>
        <v>Q4</v>
      </c>
      <c r="F319" s="10" t="str">
        <f aca="false">TEXT(A319,"ddd")</f>
        <v>Wed</v>
      </c>
      <c r="G319" s="10" t="str">
        <f aca="false">IF(WEEKDAY(A319,2)&gt;5,"Yes","No")</f>
        <v>No</v>
      </c>
      <c r="H319" s="10"/>
    </row>
    <row r="320" customFormat="false" ht="15" hidden="false" customHeight="true" outlineLevel="0" collapsed="false">
      <c r="A320" s="11" t="n">
        <v>45610</v>
      </c>
      <c r="B320" s="10" t="n">
        <f aca="false">YEAR(A320)</f>
        <v>2024</v>
      </c>
      <c r="C320" s="10" t="n">
        <f aca="false">MONTH(A320)</f>
        <v>11</v>
      </c>
      <c r="D320" s="10" t="str">
        <f aca="false">TEXT(A320,"mmm")</f>
        <v>Nov</v>
      </c>
      <c r="E320" s="10" t="str">
        <f aca="false">"Q"&amp;ROUNDUP(C320/3,0)</f>
        <v>Q4</v>
      </c>
      <c r="F320" s="10" t="str">
        <f aca="false">TEXT(A320,"ddd")</f>
        <v>Thu</v>
      </c>
      <c r="G320" s="10" t="str">
        <f aca="false">IF(WEEKDAY(A320,2)&gt;5,"Yes","No")</f>
        <v>No</v>
      </c>
      <c r="H320" s="10"/>
    </row>
    <row r="321" customFormat="false" ht="15" hidden="false" customHeight="true" outlineLevel="0" collapsed="false">
      <c r="A321" s="11" t="n">
        <v>45611</v>
      </c>
      <c r="B321" s="10" t="n">
        <f aca="false">YEAR(A321)</f>
        <v>2024</v>
      </c>
      <c r="C321" s="10" t="n">
        <f aca="false">MONTH(A321)</f>
        <v>11</v>
      </c>
      <c r="D321" s="10" t="str">
        <f aca="false">TEXT(A321,"mmm")</f>
        <v>Nov</v>
      </c>
      <c r="E321" s="10" t="str">
        <f aca="false">"Q"&amp;ROUNDUP(C321/3,0)</f>
        <v>Q4</v>
      </c>
      <c r="F321" s="10" t="str">
        <f aca="false">TEXT(A321,"ddd")</f>
        <v>Fri</v>
      </c>
      <c r="G321" s="10" t="str">
        <f aca="false">IF(WEEKDAY(A321,2)&gt;5,"Yes","No")</f>
        <v>No</v>
      </c>
      <c r="H321" s="10"/>
    </row>
    <row r="322" customFormat="false" ht="15" hidden="false" customHeight="true" outlineLevel="0" collapsed="false">
      <c r="A322" s="11" t="n">
        <v>45612</v>
      </c>
      <c r="B322" s="10" t="n">
        <f aca="false">YEAR(A322)</f>
        <v>2024</v>
      </c>
      <c r="C322" s="10" t="n">
        <f aca="false">MONTH(A322)</f>
        <v>11</v>
      </c>
      <c r="D322" s="10" t="str">
        <f aca="false">TEXT(A322,"mmm")</f>
        <v>Nov</v>
      </c>
      <c r="E322" s="10" t="str">
        <f aca="false">"Q"&amp;ROUNDUP(C322/3,0)</f>
        <v>Q4</v>
      </c>
      <c r="F322" s="10" t="str">
        <f aca="false">TEXT(A322,"ddd")</f>
        <v>Sat</v>
      </c>
      <c r="G322" s="10" t="str">
        <f aca="false">IF(WEEKDAY(A322,2)&gt;5,"Yes","No")</f>
        <v>Yes</v>
      </c>
      <c r="H322" s="10"/>
    </row>
    <row r="323" customFormat="false" ht="15" hidden="false" customHeight="true" outlineLevel="0" collapsed="false">
      <c r="A323" s="11" t="n">
        <v>45613</v>
      </c>
      <c r="B323" s="10" t="n">
        <f aca="false">YEAR(A323)</f>
        <v>2024</v>
      </c>
      <c r="C323" s="10" t="n">
        <f aca="false">MONTH(A323)</f>
        <v>11</v>
      </c>
      <c r="D323" s="10" t="str">
        <f aca="false">TEXT(A323,"mmm")</f>
        <v>Nov</v>
      </c>
      <c r="E323" s="10" t="str">
        <f aca="false">"Q"&amp;ROUNDUP(C323/3,0)</f>
        <v>Q4</v>
      </c>
      <c r="F323" s="10" t="str">
        <f aca="false">TEXT(A323,"ddd")</f>
        <v>Sun</v>
      </c>
      <c r="G323" s="10" t="str">
        <f aca="false">IF(WEEKDAY(A323,2)&gt;5,"Yes","No")</f>
        <v>Yes</v>
      </c>
      <c r="H323" s="10"/>
    </row>
    <row r="324" customFormat="false" ht="15" hidden="false" customHeight="true" outlineLevel="0" collapsed="false">
      <c r="A324" s="11" t="n">
        <v>45614</v>
      </c>
      <c r="B324" s="10" t="n">
        <f aca="false">YEAR(A324)</f>
        <v>2024</v>
      </c>
      <c r="C324" s="10" t="n">
        <f aca="false">MONTH(A324)</f>
        <v>11</v>
      </c>
      <c r="D324" s="10" t="str">
        <f aca="false">TEXT(A324,"mmm")</f>
        <v>Nov</v>
      </c>
      <c r="E324" s="10" t="str">
        <f aca="false">"Q"&amp;ROUNDUP(C324/3,0)</f>
        <v>Q4</v>
      </c>
      <c r="F324" s="10" t="str">
        <f aca="false">TEXT(A324,"ddd")</f>
        <v>Mon</v>
      </c>
      <c r="G324" s="10" t="str">
        <f aca="false">IF(WEEKDAY(A324,2)&gt;5,"Yes","No")</f>
        <v>No</v>
      </c>
      <c r="H324" s="10"/>
    </row>
    <row r="325" customFormat="false" ht="15" hidden="false" customHeight="true" outlineLevel="0" collapsed="false">
      <c r="A325" s="11" t="n">
        <v>45615</v>
      </c>
      <c r="B325" s="10" t="n">
        <f aca="false">YEAR(A325)</f>
        <v>2024</v>
      </c>
      <c r="C325" s="10" t="n">
        <f aca="false">MONTH(A325)</f>
        <v>11</v>
      </c>
      <c r="D325" s="10" t="str">
        <f aca="false">TEXT(A325,"mmm")</f>
        <v>Nov</v>
      </c>
      <c r="E325" s="10" t="str">
        <f aca="false">"Q"&amp;ROUNDUP(C325/3,0)</f>
        <v>Q4</v>
      </c>
      <c r="F325" s="10" t="str">
        <f aca="false">TEXT(A325,"ddd")</f>
        <v>Tue</v>
      </c>
      <c r="G325" s="10" t="str">
        <f aca="false">IF(WEEKDAY(A325,2)&gt;5,"Yes","No")</f>
        <v>No</v>
      </c>
      <c r="H325" s="10"/>
    </row>
    <row r="326" customFormat="false" ht="15" hidden="false" customHeight="true" outlineLevel="0" collapsed="false">
      <c r="A326" s="11" t="n">
        <v>45616</v>
      </c>
      <c r="B326" s="10" t="n">
        <f aca="false">YEAR(A326)</f>
        <v>2024</v>
      </c>
      <c r="C326" s="10" t="n">
        <f aca="false">MONTH(A326)</f>
        <v>11</v>
      </c>
      <c r="D326" s="10" t="str">
        <f aca="false">TEXT(A326,"mmm")</f>
        <v>Nov</v>
      </c>
      <c r="E326" s="10" t="str">
        <f aca="false">"Q"&amp;ROUNDUP(C326/3,0)</f>
        <v>Q4</v>
      </c>
      <c r="F326" s="10" t="str">
        <f aca="false">TEXT(A326,"ddd")</f>
        <v>Wed</v>
      </c>
      <c r="G326" s="10" t="str">
        <f aca="false">IF(WEEKDAY(A326,2)&gt;5,"Yes","No")</f>
        <v>No</v>
      </c>
      <c r="H326" s="10"/>
    </row>
    <row r="327" customFormat="false" ht="15" hidden="false" customHeight="true" outlineLevel="0" collapsed="false">
      <c r="A327" s="11" t="n">
        <v>45617</v>
      </c>
      <c r="B327" s="10" t="n">
        <f aca="false">YEAR(A327)</f>
        <v>2024</v>
      </c>
      <c r="C327" s="10" t="n">
        <f aca="false">MONTH(A327)</f>
        <v>11</v>
      </c>
      <c r="D327" s="10" t="str">
        <f aca="false">TEXT(A327,"mmm")</f>
        <v>Nov</v>
      </c>
      <c r="E327" s="10" t="str">
        <f aca="false">"Q"&amp;ROUNDUP(C327/3,0)</f>
        <v>Q4</v>
      </c>
      <c r="F327" s="10" t="str">
        <f aca="false">TEXT(A327,"ddd")</f>
        <v>Thu</v>
      </c>
      <c r="G327" s="10" t="str">
        <f aca="false">IF(WEEKDAY(A327,2)&gt;5,"Yes","No")</f>
        <v>No</v>
      </c>
      <c r="H327" s="10"/>
    </row>
    <row r="328" customFormat="false" ht="15" hidden="false" customHeight="true" outlineLevel="0" collapsed="false">
      <c r="A328" s="11" t="n">
        <v>45618</v>
      </c>
      <c r="B328" s="10" t="n">
        <f aca="false">YEAR(A328)</f>
        <v>2024</v>
      </c>
      <c r="C328" s="10" t="n">
        <f aca="false">MONTH(A328)</f>
        <v>11</v>
      </c>
      <c r="D328" s="10" t="str">
        <f aca="false">TEXT(A328,"mmm")</f>
        <v>Nov</v>
      </c>
      <c r="E328" s="10" t="str">
        <f aca="false">"Q"&amp;ROUNDUP(C328/3,0)</f>
        <v>Q4</v>
      </c>
      <c r="F328" s="10" t="str">
        <f aca="false">TEXT(A328,"ddd")</f>
        <v>Fri</v>
      </c>
      <c r="G328" s="10" t="str">
        <f aca="false">IF(WEEKDAY(A328,2)&gt;5,"Yes","No")</f>
        <v>No</v>
      </c>
      <c r="H328" s="10"/>
    </row>
    <row r="329" customFormat="false" ht="15" hidden="false" customHeight="true" outlineLevel="0" collapsed="false">
      <c r="A329" s="11" t="n">
        <v>45619</v>
      </c>
      <c r="B329" s="10" t="n">
        <f aca="false">YEAR(A329)</f>
        <v>2024</v>
      </c>
      <c r="C329" s="10" t="n">
        <f aca="false">MONTH(A329)</f>
        <v>11</v>
      </c>
      <c r="D329" s="10" t="str">
        <f aca="false">TEXT(A329,"mmm")</f>
        <v>Nov</v>
      </c>
      <c r="E329" s="10" t="str">
        <f aca="false">"Q"&amp;ROUNDUP(C329/3,0)</f>
        <v>Q4</v>
      </c>
      <c r="F329" s="10" t="str">
        <f aca="false">TEXT(A329,"ddd")</f>
        <v>Sat</v>
      </c>
      <c r="G329" s="10" t="str">
        <f aca="false">IF(WEEKDAY(A329,2)&gt;5,"Yes","No")</f>
        <v>Yes</v>
      </c>
      <c r="H329" s="10"/>
    </row>
    <row r="330" customFormat="false" ht="15" hidden="false" customHeight="true" outlineLevel="0" collapsed="false">
      <c r="A330" s="11" t="n">
        <v>45620</v>
      </c>
      <c r="B330" s="10" t="n">
        <f aca="false">YEAR(A330)</f>
        <v>2024</v>
      </c>
      <c r="C330" s="10" t="n">
        <f aca="false">MONTH(A330)</f>
        <v>11</v>
      </c>
      <c r="D330" s="10" t="str">
        <f aca="false">TEXT(A330,"mmm")</f>
        <v>Nov</v>
      </c>
      <c r="E330" s="10" t="str">
        <f aca="false">"Q"&amp;ROUNDUP(C330/3,0)</f>
        <v>Q4</v>
      </c>
      <c r="F330" s="10" t="str">
        <f aca="false">TEXT(A330,"ddd")</f>
        <v>Sun</v>
      </c>
      <c r="G330" s="10" t="str">
        <f aca="false">IF(WEEKDAY(A330,2)&gt;5,"Yes","No")</f>
        <v>Yes</v>
      </c>
      <c r="H330" s="10"/>
    </row>
    <row r="331" customFormat="false" ht="15" hidden="false" customHeight="true" outlineLevel="0" collapsed="false">
      <c r="A331" s="11" t="n">
        <v>45621</v>
      </c>
      <c r="B331" s="10" t="n">
        <f aca="false">YEAR(A331)</f>
        <v>2024</v>
      </c>
      <c r="C331" s="10" t="n">
        <f aca="false">MONTH(A331)</f>
        <v>11</v>
      </c>
      <c r="D331" s="10" t="str">
        <f aca="false">TEXT(A331,"mmm")</f>
        <v>Nov</v>
      </c>
      <c r="E331" s="10" t="str">
        <f aca="false">"Q"&amp;ROUNDUP(C331/3,0)</f>
        <v>Q4</v>
      </c>
      <c r="F331" s="10" t="str">
        <f aca="false">TEXT(A331,"ddd")</f>
        <v>Mon</v>
      </c>
      <c r="G331" s="10" t="str">
        <f aca="false">IF(WEEKDAY(A331,2)&gt;5,"Yes","No")</f>
        <v>No</v>
      </c>
      <c r="H331" s="10"/>
    </row>
    <row r="332" customFormat="false" ht="15" hidden="false" customHeight="true" outlineLevel="0" collapsed="false">
      <c r="A332" s="11" t="n">
        <v>45622</v>
      </c>
      <c r="B332" s="10" t="n">
        <f aca="false">YEAR(A332)</f>
        <v>2024</v>
      </c>
      <c r="C332" s="10" t="n">
        <f aca="false">MONTH(A332)</f>
        <v>11</v>
      </c>
      <c r="D332" s="10" t="str">
        <f aca="false">TEXT(A332,"mmm")</f>
        <v>Nov</v>
      </c>
      <c r="E332" s="10" t="str">
        <f aca="false">"Q"&amp;ROUNDUP(C332/3,0)</f>
        <v>Q4</v>
      </c>
      <c r="F332" s="10" t="str">
        <f aca="false">TEXT(A332,"ddd")</f>
        <v>Tue</v>
      </c>
      <c r="G332" s="10" t="str">
        <f aca="false">IF(WEEKDAY(A332,2)&gt;5,"Yes","No")</f>
        <v>No</v>
      </c>
      <c r="H332" s="10"/>
    </row>
    <row r="333" customFormat="false" ht="15" hidden="false" customHeight="true" outlineLevel="0" collapsed="false">
      <c r="A333" s="11" t="n">
        <v>45623</v>
      </c>
      <c r="B333" s="10" t="n">
        <f aca="false">YEAR(A333)</f>
        <v>2024</v>
      </c>
      <c r="C333" s="10" t="n">
        <f aca="false">MONTH(A333)</f>
        <v>11</v>
      </c>
      <c r="D333" s="10" t="str">
        <f aca="false">TEXT(A333,"mmm")</f>
        <v>Nov</v>
      </c>
      <c r="E333" s="10" t="str">
        <f aca="false">"Q"&amp;ROUNDUP(C333/3,0)</f>
        <v>Q4</v>
      </c>
      <c r="F333" s="10" t="str">
        <f aca="false">TEXT(A333,"ddd")</f>
        <v>Wed</v>
      </c>
      <c r="G333" s="10" t="str">
        <f aca="false">IF(WEEKDAY(A333,2)&gt;5,"Yes","No")</f>
        <v>No</v>
      </c>
      <c r="H333" s="10"/>
    </row>
    <row r="334" customFormat="false" ht="15" hidden="false" customHeight="true" outlineLevel="0" collapsed="false">
      <c r="A334" s="11" t="n">
        <v>45624</v>
      </c>
      <c r="B334" s="10" t="n">
        <f aca="false">YEAR(A334)</f>
        <v>2024</v>
      </c>
      <c r="C334" s="10" t="n">
        <f aca="false">MONTH(A334)</f>
        <v>11</v>
      </c>
      <c r="D334" s="10" t="str">
        <f aca="false">TEXT(A334,"mmm")</f>
        <v>Nov</v>
      </c>
      <c r="E334" s="10" t="str">
        <f aca="false">"Q"&amp;ROUNDUP(C334/3,0)</f>
        <v>Q4</v>
      </c>
      <c r="F334" s="10" t="str">
        <f aca="false">TEXT(A334,"ddd")</f>
        <v>Thu</v>
      </c>
      <c r="G334" s="10" t="str">
        <f aca="false">IF(WEEKDAY(A334,2)&gt;5,"Yes","No")</f>
        <v>No</v>
      </c>
      <c r="H334" s="10"/>
    </row>
    <row r="335" customFormat="false" ht="15" hidden="false" customHeight="true" outlineLevel="0" collapsed="false">
      <c r="A335" s="11" t="n">
        <v>45625</v>
      </c>
      <c r="B335" s="10" t="n">
        <f aca="false">YEAR(A335)</f>
        <v>2024</v>
      </c>
      <c r="C335" s="10" t="n">
        <f aca="false">MONTH(A335)</f>
        <v>11</v>
      </c>
      <c r="D335" s="10" t="str">
        <f aca="false">TEXT(A335,"mmm")</f>
        <v>Nov</v>
      </c>
      <c r="E335" s="10" t="str">
        <f aca="false">"Q"&amp;ROUNDUP(C335/3,0)</f>
        <v>Q4</v>
      </c>
      <c r="F335" s="10" t="str">
        <f aca="false">TEXT(A335,"ddd")</f>
        <v>Fri</v>
      </c>
      <c r="G335" s="10" t="str">
        <f aca="false">IF(WEEKDAY(A335,2)&gt;5,"Yes","No")</f>
        <v>No</v>
      </c>
      <c r="H335" s="10"/>
    </row>
    <row r="336" customFormat="false" ht="15" hidden="false" customHeight="true" outlineLevel="0" collapsed="false">
      <c r="A336" s="11" t="n">
        <v>45626</v>
      </c>
      <c r="B336" s="10" t="n">
        <f aca="false">YEAR(A336)</f>
        <v>2024</v>
      </c>
      <c r="C336" s="10" t="n">
        <f aca="false">MONTH(A336)</f>
        <v>11</v>
      </c>
      <c r="D336" s="10" t="str">
        <f aca="false">TEXT(A336,"mmm")</f>
        <v>Nov</v>
      </c>
      <c r="E336" s="10" t="str">
        <f aca="false">"Q"&amp;ROUNDUP(C336/3,0)</f>
        <v>Q4</v>
      </c>
      <c r="F336" s="10" t="str">
        <f aca="false">TEXT(A336,"ddd")</f>
        <v>Sat</v>
      </c>
      <c r="G336" s="10" t="str">
        <f aca="false">IF(WEEKDAY(A336,2)&gt;5,"Yes","No")</f>
        <v>Yes</v>
      </c>
      <c r="H336" s="10"/>
    </row>
    <row r="337" customFormat="false" ht="15" hidden="false" customHeight="true" outlineLevel="0" collapsed="false">
      <c r="A337" s="11" t="n">
        <v>45627</v>
      </c>
      <c r="B337" s="10" t="n">
        <f aca="false">YEAR(A337)</f>
        <v>2024</v>
      </c>
      <c r="C337" s="10" t="n">
        <f aca="false">MONTH(A337)</f>
        <v>12</v>
      </c>
      <c r="D337" s="10" t="str">
        <f aca="false">TEXT(A337,"mmm")</f>
        <v>Dec</v>
      </c>
      <c r="E337" s="10" t="str">
        <f aca="false">"Q"&amp;ROUNDUP(C337/3,0)</f>
        <v>Q4</v>
      </c>
      <c r="F337" s="10" t="str">
        <f aca="false">TEXT(A337,"ddd")</f>
        <v>Sun</v>
      </c>
      <c r="G337" s="10" t="str">
        <f aca="false">IF(WEEKDAY(A337,2)&gt;5,"Yes","No")</f>
        <v>Yes</v>
      </c>
      <c r="H337" s="10"/>
    </row>
    <row r="338" customFormat="false" ht="15" hidden="false" customHeight="true" outlineLevel="0" collapsed="false">
      <c r="A338" s="11" t="n">
        <v>45628</v>
      </c>
      <c r="B338" s="10" t="n">
        <f aca="false">YEAR(A338)</f>
        <v>2024</v>
      </c>
      <c r="C338" s="10" t="n">
        <f aca="false">MONTH(A338)</f>
        <v>12</v>
      </c>
      <c r="D338" s="10" t="str">
        <f aca="false">TEXT(A338,"mmm")</f>
        <v>Dec</v>
      </c>
      <c r="E338" s="10" t="str">
        <f aca="false">"Q"&amp;ROUNDUP(C338/3,0)</f>
        <v>Q4</v>
      </c>
      <c r="F338" s="10" t="str">
        <f aca="false">TEXT(A338,"ddd")</f>
        <v>Mon</v>
      </c>
      <c r="G338" s="10" t="str">
        <f aca="false">IF(WEEKDAY(A338,2)&gt;5,"Yes","No")</f>
        <v>No</v>
      </c>
      <c r="H338" s="10"/>
    </row>
    <row r="339" customFormat="false" ht="15" hidden="false" customHeight="true" outlineLevel="0" collapsed="false">
      <c r="A339" s="11" t="n">
        <v>45629</v>
      </c>
      <c r="B339" s="10" t="n">
        <f aca="false">YEAR(A339)</f>
        <v>2024</v>
      </c>
      <c r="C339" s="10" t="n">
        <f aca="false">MONTH(A339)</f>
        <v>12</v>
      </c>
      <c r="D339" s="10" t="str">
        <f aca="false">TEXT(A339,"mmm")</f>
        <v>Dec</v>
      </c>
      <c r="E339" s="10" t="str">
        <f aca="false">"Q"&amp;ROUNDUP(C339/3,0)</f>
        <v>Q4</v>
      </c>
      <c r="F339" s="10" t="str">
        <f aca="false">TEXT(A339,"ddd")</f>
        <v>Tue</v>
      </c>
      <c r="G339" s="10" t="str">
        <f aca="false">IF(WEEKDAY(A339,2)&gt;5,"Yes","No")</f>
        <v>No</v>
      </c>
      <c r="H339" s="10"/>
    </row>
    <row r="340" customFormat="false" ht="15" hidden="false" customHeight="true" outlineLevel="0" collapsed="false">
      <c r="A340" s="11" t="n">
        <v>45630</v>
      </c>
      <c r="B340" s="10" t="n">
        <f aca="false">YEAR(A340)</f>
        <v>2024</v>
      </c>
      <c r="C340" s="10" t="n">
        <f aca="false">MONTH(A340)</f>
        <v>12</v>
      </c>
      <c r="D340" s="10" t="str">
        <f aca="false">TEXT(A340,"mmm")</f>
        <v>Dec</v>
      </c>
      <c r="E340" s="10" t="str">
        <f aca="false">"Q"&amp;ROUNDUP(C340/3,0)</f>
        <v>Q4</v>
      </c>
      <c r="F340" s="10" t="str">
        <f aca="false">TEXT(A340,"ddd")</f>
        <v>Wed</v>
      </c>
      <c r="G340" s="10" t="str">
        <f aca="false">IF(WEEKDAY(A340,2)&gt;5,"Yes","No")</f>
        <v>No</v>
      </c>
      <c r="H340" s="10"/>
    </row>
    <row r="341" customFormat="false" ht="15" hidden="false" customHeight="true" outlineLevel="0" collapsed="false">
      <c r="A341" s="11" t="n">
        <v>45631</v>
      </c>
      <c r="B341" s="10" t="n">
        <f aca="false">YEAR(A341)</f>
        <v>2024</v>
      </c>
      <c r="C341" s="10" t="n">
        <f aca="false">MONTH(A341)</f>
        <v>12</v>
      </c>
      <c r="D341" s="10" t="str">
        <f aca="false">TEXT(A341,"mmm")</f>
        <v>Dec</v>
      </c>
      <c r="E341" s="10" t="str">
        <f aca="false">"Q"&amp;ROUNDUP(C341/3,0)</f>
        <v>Q4</v>
      </c>
      <c r="F341" s="10" t="str">
        <f aca="false">TEXT(A341,"ddd")</f>
        <v>Thu</v>
      </c>
      <c r="G341" s="10" t="str">
        <f aca="false">IF(WEEKDAY(A341,2)&gt;5,"Yes","No")</f>
        <v>No</v>
      </c>
      <c r="H341" s="10"/>
    </row>
    <row r="342" customFormat="false" ht="15" hidden="false" customHeight="true" outlineLevel="0" collapsed="false">
      <c r="A342" s="11" t="n">
        <v>45632</v>
      </c>
      <c r="B342" s="10" t="n">
        <f aca="false">YEAR(A342)</f>
        <v>2024</v>
      </c>
      <c r="C342" s="10" t="n">
        <f aca="false">MONTH(A342)</f>
        <v>12</v>
      </c>
      <c r="D342" s="10" t="str">
        <f aca="false">TEXT(A342,"mmm")</f>
        <v>Dec</v>
      </c>
      <c r="E342" s="10" t="str">
        <f aca="false">"Q"&amp;ROUNDUP(C342/3,0)</f>
        <v>Q4</v>
      </c>
      <c r="F342" s="10" t="str">
        <f aca="false">TEXT(A342,"ddd")</f>
        <v>Fri</v>
      </c>
      <c r="G342" s="10" t="str">
        <f aca="false">IF(WEEKDAY(A342,2)&gt;5,"Yes","No")</f>
        <v>No</v>
      </c>
      <c r="H342" s="10"/>
    </row>
    <row r="343" customFormat="false" ht="15" hidden="false" customHeight="true" outlineLevel="0" collapsed="false">
      <c r="A343" s="11" t="n">
        <v>45633</v>
      </c>
      <c r="B343" s="10" t="n">
        <f aca="false">YEAR(A343)</f>
        <v>2024</v>
      </c>
      <c r="C343" s="10" t="n">
        <f aca="false">MONTH(A343)</f>
        <v>12</v>
      </c>
      <c r="D343" s="10" t="str">
        <f aca="false">TEXT(A343,"mmm")</f>
        <v>Dec</v>
      </c>
      <c r="E343" s="10" t="str">
        <f aca="false">"Q"&amp;ROUNDUP(C343/3,0)</f>
        <v>Q4</v>
      </c>
      <c r="F343" s="10" t="str">
        <f aca="false">TEXT(A343,"ddd")</f>
        <v>Sat</v>
      </c>
      <c r="G343" s="10" t="str">
        <f aca="false">IF(WEEKDAY(A343,2)&gt;5,"Yes","No")</f>
        <v>Yes</v>
      </c>
      <c r="H343" s="10"/>
    </row>
    <row r="344" customFormat="false" ht="15" hidden="false" customHeight="true" outlineLevel="0" collapsed="false">
      <c r="A344" s="11" t="n">
        <v>45634</v>
      </c>
      <c r="B344" s="10" t="n">
        <f aca="false">YEAR(A344)</f>
        <v>2024</v>
      </c>
      <c r="C344" s="10" t="n">
        <f aca="false">MONTH(A344)</f>
        <v>12</v>
      </c>
      <c r="D344" s="10" t="str">
        <f aca="false">TEXT(A344,"mmm")</f>
        <v>Dec</v>
      </c>
      <c r="E344" s="10" t="str">
        <f aca="false">"Q"&amp;ROUNDUP(C344/3,0)</f>
        <v>Q4</v>
      </c>
      <c r="F344" s="10" t="str">
        <f aca="false">TEXT(A344,"ddd")</f>
        <v>Sun</v>
      </c>
      <c r="G344" s="10" t="str">
        <f aca="false">IF(WEEKDAY(A344,2)&gt;5,"Yes","No")</f>
        <v>Yes</v>
      </c>
      <c r="H344" s="10"/>
    </row>
    <row r="345" customFormat="false" ht="15" hidden="false" customHeight="true" outlineLevel="0" collapsed="false">
      <c r="A345" s="11" t="n">
        <v>45635</v>
      </c>
      <c r="B345" s="10" t="n">
        <f aca="false">YEAR(A345)</f>
        <v>2024</v>
      </c>
      <c r="C345" s="10" t="n">
        <f aca="false">MONTH(A345)</f>
        <v>12</v>
      </c>
      <c r="D345" s="10" t="str">
        <f aca="false">TEXT(A345,"mmm")</f>
        <v>Dec</v>
      </c>
      <c r="E345" s="10" t="str">
        <f aca="false">"Q"&amp;ROUNDUP(C345/3,0)</f>
        <v>Q4</v>
      </c>
      <c r="F345" s="10" t="str">
        <f aca="false">TEXT(A345,"ddd")</f>
        <v>Mon</v>
      </c>
      <c r="G345" s="10" t="str">
        <f aca="false">IF(WEEKDAY(A345,2)&gt;5,"Yes","No")</f>
        <v>No</v>
      </c>
      <c r="H345" s="10"/>
    </row>
    <row r="346" customFormat="false" ht="15" hidden="false" customHeight="true" outlineLevel="0" collapsed="false">
      <c r="A346" s="11" t="n">
        <v>45636</v>
      </c>
      <c r="B346" s="10" t="n">
        <f aca="false">YEAR(A346)</f>
        <v>2024</v>
      </c>
      <c r="C346" s="10" t="n">
        <f aca="false">MONTH(A346)</f>
        <v>12</v>
      </c>
      <c r="D346" s="10" t="str">
        <f aca="false">TEXT(A346,"mmm")</f>
        <v>Dec</v>
      </c>
      <c r="E346" s="10" t="str">
        <f aca="false">"Q"&amp;ROUNDUP(C346/3,0)</f>
        <v>Q4</v>
      </c>
      <c r="F346" s="10" t="str">
        <f aca="false">TEXT(A346,"ddd")</f>
        <v>Tue</v>
      </c>
      <c r="G346" s="10" t="str">
        <f aca="false">IF(WEEKDAY(A346,2)&gt;5,"Yes","No")</f>
        <v>No</v>
      </c>
      <c r="H346" s="10"/>
    </row>
    <row r="347" customFormat="false" ht="15" hidden="false" customHeight="true" outlineLevel="0" collapsed="false">
      <c r="A347" s="11" t="n">
        <v>45637</v>
      </c>
      <c r="B347" s="10" t="n">
        <f aca="false">YEAR(A347)</f>
        <v>2024</v>
      </c>
      <c r="C347" s="10" t="n">
        <f aca="false">MONTH(A347)</f>
        <v>12</v>
      </c>
      <c r="D347" s="10" t="str">
        <f aca="false">TEXT(A347,"mmm")</f>
        <v>Dec</v>
      </c>
      <c r="E347" s="10" t="str">
        <f aca="false">"Q"&amp;ROUNDUP(C347/3,0)</f>
        <v>Q4</v>
      </c>
      <c r="F347" s="10" t="str">
        <f aca="false">TEXT(A347,"ddd")</f>
        <v>Wed</v>
      </c>
      <c r="G347" s="10" t="str">
        <f aca="false">IF(WEEKDAY(A347,2)&gt;5,"Yes","No")</f>
        <v>No</v>
      </c>
      <c r="H347" s="10"/>
    </row>
    <row r="348" customFormat="false" ht="15" hidden="false" customHeight="true" outlineLevel="0" collapsed="false">
      <c r="A348" s="11" t="n">
        <v>45638</v>
      </c>
      <c r="B348" s="10" t="n">
        <f aca="false">YEAR(A348)</f>
        <v>2024</v>
      </c>
      <c r="C348" s="10" t="n">
        <f aca="false">MONTH(A348)</f>
        <v>12</v>
      </c>
      <c r="D348" s="10" t="str">
        <f aca="false">TEXT(A348,"mmm")</f>
        <v>Dec</v>
      </c>
      <c r="E348" s="10" t="str">
        <f aca="false">"Q"&amp;ROUNDUP(C348/3,0)</f>
        <v>Q4</v>
      </c>
      <c r="F348" s="10" t="str">
        <f aca="false">TEXT(A348,"ddd")</f>
        <v>Thu</v>
      </c>
      <c r="G348" s="10" t="str">
        <f aca="false">IF(WEEKDAY(A348,2)&gt;5,"Yes","No")</f>
        <v>No</v>
      </c>
      <c r="H348" s="10"/>
    </row>
    <row r="349" customFormat="false" ht="15" hidden="false" customHeight="true" outlineLevel="0" collapsed="false">
      <c r="A349" s="11" t="n">
        <v>45639</v>
      </c>
      <c r="B349" s="10" t="n">
        <f aca="false">YEAR(A349)</f>
        <v>2024</v>
      </c>
      <c r="C349" s="10" t="n">
        <f aca="false">MONTH(A349)</f>
        <v>12</v>
      </c>
      <c r="D349" s="10" t="str">
        <f aca="false">TEXT(A349,"mmm")</f>
        <v>Dec</v>
      </c>
      <c r="E349" s="10" t="str">
        <f aca="false">"Q"&amp;ROUNDUP(C349/3,0)</f>
        <v>Q4</v>
      </c>
      <c r="F349" s="10" t="str">
        <f aca="false">TEXT(A349,"ddd")</f>
        <v>Fri</v>
      </c>
      <c r="G349" s="10" t="str">
        <f aca="false">IF(WEEKDAY(A349,2)&gt;5,"Yes","No")</f>
        <v>No</v>
      </c>
      <c r="H349" s="10"/>
    </row>
    <row r="350" customFormat="false" ht="15" hidden="false" customHeight="true" outlineLevel="0" collapsed="false">
      <c r="A350" s="11" t="n">
        <v>45640</v>
      </c>
      <c r="B350" s="10" t="n">
        <f aca="false">YEAR(A350)</f>
        <v>2024</v>
      </c>
      <c r="C350" s="10" t="n">
        <f aca="false">MONTH(A350)</f>
        <v>12</v>
      </c>
      <c r="D350" s="10" t="str">
        <f aca="false">TEXT(A350,"mmm")</f>
        <v>Dec</v>
      </c>
      <c r="E350" s="10" t="str">
        <f aca="false">"Q"&amp;ROUNDUP(C350/3,0)</f>
        <v>Q4</v>
      </c>
      <c r="F350" s="10" t="str">
        <f aca="false">TEXT(A350,"ddd")</f>
        <v>Sat</v>
      </c>
      <c r="G350" s="10" t="str">
        <f aca="false">IF(WEEKDAY(A350,2)&gt;5,"Yes","No")</f>
        <v>Yes</v>
      </c>
      <c r="H350" s="10"/>
    </row>
    <row r="351" customFormat="false" ht="15" hidden="false" customHeight="true" outlineLevel="0" collapsed="false">
      <c r="A351" s="11" t="n">
        <v>45641</v>
      </c>
      <c r="B351" s="10" t="n">
        <f aca="false">YEAR(A351)</f>
        <v>2024</v>
      </c>
      <c r="C351" s="10" t="n">
        <f aca="false">MONTH(A351)</f>
        <v>12</v>
      </c>
      <c r="D351" s="10" t="str">
        <f aca="false">TEXT(A351,"mmm")</f>
        <v>Dec</v>
      </c>
      <c r="E351" s="10" t="str">
        <f aca="false">"Q"&amp;ROUNDUP(C351/3,0)</f>
        <v>Q4</v>
      </c>
      <c r="F351" s="10" t="str">
        <f aca="false">TEXT(A351,"ddd")</f>
        <v>Sun</v>
      </c>
      <c r="G351" s="10" t="str">
        <f aca="false">IF(WEEKDAY(A351,2)&gt;5,"Yes","No")</f>
        <v>Yes</v>
      </c>
      <c r="H351" s="10"/>
    </row>
    <row r="352" customFormat="false" ht="15" hidden="false" customHeight="true" outlineLevel="0" collapsed="false">
      <c r="A352" s="11" t="n">
        <v>45642</v>
      </c>
      <c r="B352" s="10" t="n">
        <f aca="false">YEAR(A352)</f>
        <v>2024</v>
      </c>
      <c r="C352" s="10" t="n">
        <f aca="false">MONTH(A352)</f>
        <v>12</v>
      </c>
      <c r="D352" s="10" t="str">
        <f aca="false">TEXT(A352,"mmm")</f>
        <v>Dec</v>
      </c>
      <c r="E352" s="10" t="str">
        <f aca="false">"Q"&amp;ROUNDUP(C352/3,0)</f>
        <v>Q4</v>
      </c>
      <c r="F352" s="10" t="str">
        <f aca="false">TEXT(A352,"ddd")</f>
        <v>Mon</v>
      </c>
      <c r="G352" s="10" t="str">
        <f aca="false">IF(WEEKDAY(A352,2)&gt;5,"Yes","No")</f>
        <v>No</v>
      </c>
      <c r="H352" s="10" t="s">
        <v>1002</v>
      </c>
    </row>
    <row r="353" customFormat="false" ht="15" hidden="false" customHeight="true" outlineLevel="0" collapsed="false">
      <c r="A353" s="11" t="n">
        <v>45643</v>
      </c>
      <c r="B353" s="10" t="n">
        <f aca="false">YEAR(A353)</f>
        <v>2024</v>
      </c>
      <c r="C353" s="10" t="n">
        <f aca="false">MONTH(A353)</f>
        <v>12</v>
      </c>
      <c r="D353" s="10" t="str">
        <f aca="false">TEXT(A353,"mmm")</f>
        <v>Dec</v>
      </c>
      <c r="E353" s="10" t="str">
        <f aca="false">"Q"&amp;ROUNDUP(C353/3,0)</f>
        <v>Q4</v>
      </c>
      <c r="F353" s="10" t="str">
        <f aca="false">TEXT(A353,"ddd")</f>
        <v>Tue</v>
      </c>
      <c r="G353" s="10" t="str">
        <f aca="false">IF(WEEKDAY(A353,2)&gt;5,"Yes","No")</f>
        <v>No</v>
      </c>
      <c r="H353" s="10"/>
    </row>
    <row r="354" customFormat="false" ht="15" hidden="false" customHeight="true" outlineLevel="0" collapsed="false">
      <c r="A354" s="11" t="n">
        <v>45644</v>
      </c>
      <c r="B354" s="10" t="n">
        <f aca="false">YEAR(A354)</f>
        <v>2024</v>
      </c>
      <c r="C354" s="10" t="n">
        <f aca="false">MONTH(A354)</f>
        <v>12</v>
      </c>
      <c r="D354" s="10" t="str">
        <f aca="false">TEXT(A354,"mmm")</f>
        <v>Dec</v>
      </c>
      <c r="E354" s="10" t="str">
        <f aca="false">"Q"&amp;ROUNDUP(C354/3,0)</f>
        <v>Q4</v>
      </c>
      <c r="F354" s="10" t="str">
        <f aca="false">TEXT(A354,"ddd")</f>
        <v>Wed</v>
      </c>
      <c r="G354" s="10" t="str">
        <f aca="false">IF(WEEKDAY(A354,2)&gt;5,"Yes","No")</f>
        <v>No</v>
      </c>
      <c r="H354" s="10"/>
    </row>
    <row r="355" customFormat="false" ht="15" hidden="false" customHeight="true" outlineLevel="0" collapsed="false">
      <c r="A355" s="11" t="n">
        <v>45645</v>
      </c>
      <c r="B355" s="10" t="n">
        <f aca="false">YEAR(A355)</f>
        <v>2024</v>
      </c>
      <c r="C355" s="10" t="n">
        <f aca="false">MONTH(A355)</f>
        <v>12</v>
      </c>
      <c r="D355" s="10" t="str">
        <f aca="false">TEXT(A355,"mmm")</f>
        <v>Dec</v>
      </c>
      <c r="E355" s="10" t="str">
        <f aca="false">"Q"&amp;ROUNDUP(C355/3,0)</f>
        <v>Q4</v>
      </c>
      <c r="F355" s="10" t="str">
        <f aca="false">TEXT(A355,"ddd")</f>
        <v>Thu</v>
      </c>
      <c r="G355" s="10" t="str">
        <f aca="false">IF(WEEKDAY(A355,2)&gt;5,"Yes","No")</f>
        <v>No</v>
      </c>
      <c r="H355" s="10"/>
    </row>
    <row r="356" customFormat="false" ht="15" hidden="false" customHeight="true" outlineLevel="0" collapsed="false">
      <c r="A356" s="11" t="n">
        <v>45646</v>
      </c>
      <c r="B356" s="10" t="n">
        <f aca="false">YEAR(A356)</f>
        <v>2024</v>
      </c>
      <c r="C356" s="10" t="n">
        <f aca="false">MONTH(A356)</f>
        <v>12</v>
      </c>
      <c r="D356" s="10" t="str">
        <f aca="false">TEXT(A356,"mmm")</f>
        <v>Dec</v>
      </c>
      <c r="E356" s="10" t="str">
        <f aca="false">"Q"&amp;ROUNDUP(C356/3,0)</f>
        <v>Q4</v>
      </c>
      <c r="F356" s="10" t="str">
        <f aca="false">TEXT(A356,"ddd")</f>
        <v>Fri</v>
      </c>
      <c r="G356" s="10" t="str">
        <f aca="false">IF(WEEKDAY(A356,2)&gt;5,"Yes","No")</f>
        <v>No</v>
      </c>
      <c r="H356" s="10"/>
    </row>
    <row r="357" customFormat="false" ht="15" hidden="false" customHeight="true" outlineLevel="0" collapsed="false">
      <c r="A357" s="11" t="n">
        <v>45647</v>
      </c>
      <c r="B357" s="10" t="n">
        <f aca="false">YEAR(A357)</f>
        <v>2024</v>
      </c>
      <c r="C357" s="10" t="n">
        <f aca="false">MONTH(A357)</f>
        <v>12</v>
      </c>
      <c r="D357" s="10" t="str">
        <f aca="false">TEXT(A357,"mmm")</f>
        <v>Dec</v>
      </c>
      <c r="E357" s="10" t="str">
        <f aca="false">"Q"&amp;ROUNDUP(C357/3,0)</f>
        <v>Q4</v>
      </c>
      <c r="F357" s="10" t="str">
        <f aca="false">TEXT(A357,"ddd")</f>
        <v>Sat</v>
      </c>
      <c r="G357" s="10" t="str">
        <f aca="false">IF(WEEKDAY(A357,2)&gt;5,"Yes","No")</f>
        <v>Yes</v>
      </c>
      <c r="H357" s="10"/>
    </row>
    <row r="358" customFormat="false" ht="15" hidden="false" customHeight="true" outlineLevel="0" collapsed="false">
      <c r="A358" s="11" t="n">
        <v>45648</v>
      </c>
      <c r="B358" s="10" t="n">
        <f aca="false">YEAR(A358)</f>
        <v>2024</v>
      </c>
      <c r="C358" s="10" t="n">
        <f aca="false">MONTH(A358)</f>
        <v>12</v>
      </c>
      <c r="D358" s="10" t="str">
        <f aca="false">TEXT(A358,"mmm")</f>
        <v>Dec</v>
      </c>
      <c r="E358" s="10" t="str">
        <f aca="false">"Q"&amp;ROUNDUP(C358/3,0)</f>
        <v>Q4</v>
      </c>
      <c r="F358" s="10" t="str">
        <f aca="false">TEXT(A358,"ddd")</f>
        <v>Sun</v>
      </c>
      <c r="G358" s="10" t="str">
        <f aca="false">IF(WEEKDAY(A358,2)&gt;5,"Yes","No")</f>
        <v>Yes</v>
      </c>
      <c r="H358" s="10"/>
    </row>
    <row r="359" customFormat="false" ht="15" hidden="false" customHeight="true" outlineLevel="0" collapsed="false">
      <c r="A359" s="11" t="n">
        <v>45649</v>
      </c>
      <c r="B359" s="10" t="n">
        <f aca="false">YEAR(A359)</f>
        <v>2024</v>
      </c>
      <c r="C359" s="10" t="n">
        <f aca="false">MONTH(A359)</f>
        <v>12</v>
      </c>
      <c r="D359" s="10" t="str">
        <f aca="false">TEXT(A359,"mmm")</f>
        <v>Dec</v>
      </c>
      <c r="E359" s="10" t="str">
        <f aca="false">"Q"&amp;ROUNDUP(C359/3,0)</f>
        <v>Q4</v>
      </c>
      <c r="F359" s="10" t="str">
        <f aca="false">TEXT(A359,"ddd")</f>
        <v>Mon</v>
      </c>
      <c r="G359" s="10" t="str">
        <f aca="false">IF(WEEKDAY(A359,2)&gt;5,"Yes","No")</f>
        <v>No</v>
      </c>
      <c r="H359" s="10"/>
    </row>
    <row r="360" customFormat="false" ht="15" hidden="false" customHeight="true" outlineLevel="0" collapsed="false">
      <c r="A360" s="11" t="n">
        <v>45650</v>
      </c>
      <c r="B360" s="10" t="n">
        <f aca="false">YEAR(A360)</f>
        <v>2024</v>
      </c>
      <c r="C360" s="10" t="n">
        <f aca="false">MONTH(A360)</f>
        <v>12</v>
      </c>
      <c r="D360" s="10" t="str">
        <f aca="false">TEXT(A360,"mmm")</f>
        <v>Dec</v>
      </c>
      <c r="E360" s="10" t="str">
        <f aca="false">"Q"&amp;ROUNDUP(C360/3,0)</f>
        <v>Q4</v>
      </c>
      <c r="F360" s="10" t="str">
        <f aca="false">TEXT(A360,"ddd")</f>
        <v>Tue</v>
      </c>
      <c r="G360" s="10" t="str">
        <f aca="false">IF(WEEKDAY(A360,2)&gt;5,"Yes","No")</f>
        <v>No</v>
      </c>
      <c r="H360" s="10"/>
    </row>
    <row r="361" customFormat="false" ht="15" hidden="false" customHeight="true" outlineLevel="0" collapsed="false">
      <c r="A361" s="11" t="n">
        <v>45651</v>
      </c>
      <c r="B361" s="10" t="n">
        <f aca="false">YEAR(A361)</f>
        <v>2024</v>
      </c>
      <c r="C361" s="10" t="n">
        <f aca="false">MONTH(A361)</f>
        <v>12</v>
      </c>
      <c r="D361" s="10" t="str">
        <f aca="false">TEXT(A361,"mmm")</f>
        <v>Dec</v>
      </c>
      <c r="E361" s="10" t="str">
        <f aca="false">"Q"&amp;ROUNDUP(C361/3,0)</f>
        <v>Q4</v>
      </c>
      <c r="F361" s="10" t="str">
        <f aca="false">TEXT(A361,"ddd")</f>
        <v>Wed</v>
      </c>
      <c r="G361" s="10" t="str">
        <f aca="false">IF(WEEKDAY(A361,2)&gt;5,"Yes","No")</f>
        <v>No</v>
      </c>
      <c r="H361" s="10" t="s">
        <v>1003</v>
      </c>
    </row>
    <row r="362" customFormat="false" ht="15" hidden="false" customHeight="true" outlineLevel="0" collapsed="false">
      <c r="A362" s="11" t="n">
        <v>45652</v>
      </c>
      <c r="B362" s="10" t="n">
        <f aca="false">YEAR(A362)</f>
        <v>2024</v>
      </c>
      <c r="C362" s="10" t="n">
        <f aca="false">MONTH(A362)</f>
        <v>12</v>
      </c>
      <c r="D362" s="10" t="str">
        <f aca="false">TEXT(A362,"mmm")</f>
        <v>Dec</v>
      </c>
      <c r="E362" s="10" t="str">
        <f aca="false">"Q"&amp;ROUNDUP(C362/3,0)</f>
        <v>Q4</v>
      </c>
      <c r="F362" s="10" t="str">
        <f aca="false">TEXT(A362,"ddd")</f>
        <v>Thu</v>
      </c>
      <c r="G362" s="10" t="str">
        <f aca="false">IF(WEEKDAY(A362,2)&gt;5,"Yes","No")</f>
        <v>No</v>
      </c>
      <c r="H362" s="10" t="s">
        <v>1004</v>
      </c>
    </row>
    <row r="363" customFormat="false" ht="15" hidden="false" customHeight="true" outlineLevel="0" collapsed="false">
      <c r="A363" s="11" t="n">
        <v>45653</v>
      </c>
      <c r="B363" s="10" t="n">
        <f aca="false">YEAR(A363)</f>
        <v>2024</v>
      </c>
      <c r="C363" s="10" t="n">
        <f aca="false">MONTH(A363)</f>
        <v>12</v>
      </c>
      <c r="D363" s="10" t="str">
        <f aca="false">TEXT(A363,"mmm")</f>
        <v>Dec</v>
      </c>
      <c r="E363" s="10" t="str">
        <f aca="false">"Q"&amp;ROUNDUP(C363/3,0)</f>
        <v>Q4</v>
      </c>
      <c r="F363" s="10" t="str">
        <f aca="false">TEXT(A363,"ddd")</f>
        <v>Fri</v>
      </c>
      <c r="G363" s="10" t="str">
        <f aca="false">IF(WEEKDAY(A363,2)&gt;5,"Yes","No")</f>
        <v>No</v>
      </c>
      <c r="H363" s="10"/>
    </row>
    <row r="364" customFormat="false" ht="15" hidden="false" customHeight="true" outlineLevel="0" collapsed="false">
      <c r="A364" s="11" t="n">
        <v>45654</v>
      </c>
      <c r="B364" s="10" t="n">
        <f aca="false">YEAR(A364)</f>
        <v>2024</v>
      </c>
      <c r="C364" s="10" t="n">
        <f aca="false">MONTH(A364)</f>
        <v>12</v>
      </c>
      <c r="D364" s="10" t="str">
        <f aca="false">TEXT(A364,"mmm")</f>
        <v>Dec</v>
      </c>
      <c r="E364" s="10" t="str">
        <f aca="false">"Q"&amp;ROUNDUP(C364/3,0)</f>
        <v>Q4</v>
      </c>
      <c r="F364" s="10" t="str">
        <f aca="false">TEXT(A364,"ddd")</f>
        <v>Sat</v>
      </c>
      <c r="G364" s="10" t="str">
        <f aca="false">IF(WEEKDAY(A364,2)&gt;5,"Yes","No")</f>
        <v>Yes</v>
      </c>
      <c r="H364" s="10"/>
    </row>
    <row r="365" customFormat="false" ht="15" hidden="false" customHeight="true" outlineLevel="0" collapsed="false">
      <c r="A365" s="11" t="n">
        <v>45655</v>
      </c>
      <c r="B365" s="10" t="n">
        <f aca="false">YEAR(A365)</f>
        <v>2024</v>
      </c>
      <c r="C365" s="10" t="n">
        <f aca="false">MONTH(A365)</f>
        <v>12</v>
      </c>
      <c r="D365" s="10" t="str">
        <f aca="false">TEXT(A365,"mmm")</f>
        <v>Dec</v>
      </c>
      <c r="E365" s="10" t="str">
        <f aca="false">"Q"&amp;ROUNDUP(C365/3,0)</f>
        <v>Q4</v>
      </c>
      <c r="F365" s="10" t="str">
        <f aca="false">TEXT(A365,"ddd")</f>
        <v>Sun</v>
      </c>
      <c r="G365" s="10" t="str">
        <f aca="false">IF(WEEKDAY(A365,2)&gt;5,"Yes","No")</f>
        <v>Yes</v>
      </c>
      <c r="H365" s="10"/>
    </row>
    <row r="366" customFormat="false" ht="15" hidden="false" customHeight="true" outlineLevel="0" collapsed="false">
      <c r="A366" s="11" t="n">
        <v>45656</v>
      </c>
      <c r="B366" s="10" t="n">
        <f aca="false">YEAR(A366)</f>
        <v>2024</v>
      </c>
      <c r="C366" s="10" t="n">
        <f aca="false">MONTH(A366)</f>
        <v>12</v>
      </c>
      <c r="D366" s="10" t="str">
        <f aca="false">TEXT(A366,"mmm")</f>
        <v>Dec</v>
      </c>
      <c r="E366" s="10" t="str">
        <f aca="false">"Q"&amp;ROUNDUP(C366/3,0)</f>
        <v>Q4</v>
      </c>
      <c r="F366" s="10" t="str">
        <f aca="false">TEXT(A366,"ddd")</f>
        <v>Mon</v>
      </c>
      <c r="G366" s="10" t="str">
        <f aca="false">IF(WEEKDAY(A366,2)&gt;5,"Yes","No")</f>
        <v>No</v>
      </c>
      <c r="H366" s="10"/>
    </row>
    <row r="367" customFormat="false" ht="15" hidden="false" customHeight="true" outlineLevel="0" collapsed="false">
      <c r="A367" s="11" t="n">
        <v>45657</v>
      </c>
      <c r="B367" s="10" t="n">
        <f aca="false">YEAR(A367)</f>
        <v>2024</v>
      </c>
      <c r="C367" s="10" t="n">
        <f aca="false">MONTH(A367)</f>
        <v>12</v>
      </c>
      <c r="D367" s="10" t="str">
        <f aca="false">TEXT(A367,"mmm")</f>
        <v>Dec</v>
      </c>
      <c r="E367" s="10" t="str">
        <f aca="false">"Q"&amp;ROUNDUP(C367/3,0)</f>
        <v>Q4</v>
      </c>
      <c r="F367" s="10" t="str">
        <f aca="false">TEXT(A367,"ddd")</f>
        <v>Tue</v>
      </c>
      <c r="G367" s="10" t="str">
        <f aca="false">IF(WEEKDAY(A367,2)&gt;5,"Yes","No")</f>
        <v>No</v>
      </c>
      <c r="H367" s="10"/>
    </row>
    <row r="368" customFormat="false" ht="15" hidden="false" customHeight="true" outlineLevel="0" collapsed="false">
      <c r="A368" s="11" t="n">
        <v>45658</v>
      </c>
      <c r="B368" s="10" t="n">
        <f aca="false">YEAR(A368)</f>
        <v>2025</v>
      </c>
      <c r="C368" s="10" t="n">
        <f aca="false">MONTH(A368)</f>
        <v>1</v>
      </c>
      <c r="D368" s="10" t="str">
        <f aca="false">TEXT(A368,"mmm")</f>
        <v>Jan</v>
      </c>
      <c r="E368" s="10" t="str">
        <f aca="false">"Q"&amp;ROUNDUP(C368/3,0)</f>
        <v>Q1</v>
      </c>
      <c r="F368" s="10" t="str">
        <f aca="false">TEXT(A368,"ddd")</f>
        <v>Wed</v>
      </c>
      <c r="G368" s="10" t="str">
        <f aca="false">IF(WEEKDAY(A368,2)&gt;5,"Yes","No")</f>
        <v>No</v>
      </c>
      <c r="H368" s="10" t="s">
        <v>991</v>
      </c>
    </row>
    <row r="369" customFormat="false" ht="15" hidden="false" customHeight="true" outlineLevel="0" collapsed="false">
      <c r="A369" s="11" t="n">
        <v>45659</v>
      </c>
      <c r="B369" s="10" t="n">
        <f aca="false">YEAR(A369)</f>
        <v>2025</v>
      </c>
      <c r="C369" s="10" t="n">
        <f aca="false">MONTH(A369)</f>
        <v>1</v>
      </c>
      <c r="D369" s="10" t="str">
        <f aca="false">TEXT(A369,"mmm")</f>
        <v>Jan</v>
      </c>
      <c r="E369" s="10" t="str">
        <f aca="false">"Q"&amp;ROUNDUP(C369/3,0)</f>
        <v>Q1</v>
      </c>
      <c r="F369" s="10" t="str">
        <f aca="false">TEXT(A369,"ddd")</f>
        <v>Thu</v>
      </c>
      <c r="G369" s="10" t="str">
        <f aca="false">IF(WEEKDAY(A369,2)&gt;5,"Yes","No")</f>
        <v>No</v>
      </c>
      <c r="H369" s="10"/>
    </row>
    <row r="370" customFormat="false" ht="15" hidden="false" customHeight="true" outlineLevel="0" collapsed="false">
      <c r="A370" s="11" t="n">
        <v>45660</v>
      </c>
      <c r="B370" s="10" t="n">
        <f aca="false">YEAR(A370)</f>
        <v>2025</v>
      </c>
      <c r="C370" s="10" t="n">
        <f aca="false">MONTH(A370)</f>
        <v>1</v>
      </c>
      <c r="D370" s="10" t="str">
        <f aca="false">TEXT(A370,"mmm")</f>
        <v>Jan</v>
      </c>
      <c r="E370" s="10" t="str">
        <f aca="false">"Q"&amp;ROUNDUP(C370/3,0)</f>
        <v>Q1</v>
      </c>
      <c r="F370" s="10" t="str">
        <f aca="false">TEXT(A370,"ddd")</f>
        <v>Fri</v>
      </c>
      <c r="G370" s="10" t="str">
        <f aca="false">IF(WEEKDAY(A370,2)&gt;5,"Yes","No")</f>
        <v>No</v>
      </c>
      <c r="H370" s="10"/>
    </row>
    <row r="371" customFormat="false" ht="15" hidden="false" customHeight="true" outlineLevel="0" collapsed="false">
      <c r="A371" s="11" t="n">
        <v>45661</v>
      </c>
      <c r="B371" s="10" t="n">
        <f aca="false">YEAR(A371)</f>
        <v>2025</v>
      </c>
      <c r="C371" s="10" t="n">
        <f aca="false">MONTH(A371)</f>
        <v>1</v>
      </c>
      <c r="D371" s="10" t="str">
        <f aca="false">TEXT(A371,"mmm")</f>
        <v>Jan</v>
      </c>
      <c r="E371" s="10" t="str">
        <f aca="false">"Q"&amp;ROUNDUP(C371/3,0)</f>
        <v>Q1</v>
      </c>
      <c r="F371" s="10" t="str">
        <f aca="false">TEXT(A371,"ddd")</f>
        <v>Sat</v>
      </c>
      <c r="G371" s="10" t="str">
        <f aca="false">IF(WEEKDAY(A371,2)&gt;5,"Yes","No")</f>
        <v>Yes</v>
      </c>
      <c r="H371" s="10"/>
    </row>
    <row r="372" customFormat="false" ht="15" hidden="false" customHeight="true" outlineLevel="0" collapsed="false">
      <c r="A372" s="11" t="n">
        <v>45662</v>
      </c>
      <c r="B372" s="10" t="n">
        <f aca="false">YEAR(A372)</f>
        <v>2025</v>
      </c>
      <c r="C372" s="10" t="n">
        <f aca="false">MONTH(A372)</f>
        <v>1</v>
      </c>
      <c r="D372" s="10" t="str">
        <f aca="false">TEXT(A372,"mmm")</f>
        <v>Jan</v>
      </c>
      <c r="E372" s="10" t="str">
        <f aca="false">"Q"&amp;ROUNDUP(C372/3,0)</f>
        <v>Q1</v>
      </c>
      <c r="F372" s="10" t="str">
        <f aca="false">TEXT(A372,"ddd")</f>
        <v>Sun</v>
      </c>
      <c r="G372" s="10" t="str">
        <f aca="false">IF(WEEKDAY(A372,2)&gt;5,"Yes","No")</f>
        <v>Yes</v>
      </c>
      <c r="H372" s="10"/>
    </row>
    <row r="373" customFormat="false" ht="15" hidden="false" customHeight="true" outlineLevel="0" collapsed="false">
      <c r="A373" s="11" t="n">
        <v>45663</v>
      </c>
      <c r="B373" s="10" t="n">
        <f aca="false">YEAR(A373)</f>
        <v>2025</v>
      </c>
      <c r="C373" s="10" t="n">
        <f aca="false">MONTH(A373)</f>
        <v>1</v>
      </c>
      <c r="D373" s="10" t="str">
        <f aca="false">TEXT(A373,"mmm")</f>
        <v>Jan</v>
      </c>
      <c r="E373" s="10" t="str">
        <f aca="false">"Q"&amp;ROUNDUP(C373/3,0)</f>
        <v>Q1</v>
      </c>
      <c r="F373" s="10" t="str">
        <f aca="false">TEXT(A373,"ddd")</f>
        <v>Mon</v>
      </c>
      <c r="G373" s="10" t="str">
        <f aca="false">IF(WEEKDAY(A373,2)&gt;5,"Yes","No")</f>
        <v>No</v>
      </c>
      <c r="H373" s="10"/>
    </row>
    <row r="374" customFormat="false" ht="15" hidden="false" customHeight="true" outlineLevel="0" collapsed="false">
      <c r="A374" s="11" t="n">
        <v>45664</v>
      </c>
      <c r="B374" s="10" t="n">
        <f aca="false">YEAR(A374)</f>
        <v>2025</v>
      </c>
      <c r="C374" s="10" t="n">
        <f aca="false">MONTH(A374)</f>
        <v>1</v>
      </c>
      <c r="D374" s="10" t="str">
        <f aca="false">TEXT(A374,"mmm")</f>
        <v>Jan</v>
      </c>
      <c r="E374" s="10" t="str">
        <f aca="false">"Q"&amp;ROUNDUP(C374/3,0)</f>
        <v>Q1</v>
      </c>
      <c r="F374" s="10" t="str">
        <f aca="false">TEXT(A374,"ddd")</f>
        <v>Tue</v>
      </c>
      <c r="G374" s="10" t="str">
        <f aca="false">IF(WEEKDAY(A374,2)&gt;5,"Yes","No")</f>
        <v>No</v>
      </c>
      <c r="H374" s="10"/>
    </row>
    <row r="375" customFormat="false" ht="15" hidden="false" customHeight="true" outlineLevel="0" collapsed="false">
      <c r="A375" s="11" t="n">
        <v>45665</v>
      </c>
      <c r="B375" s="10" t="n">
        <f aca="false">YEAR(A375)</f>
        <v>2025</v>
      </c>
      <c r="C375" s="10" t="n">
        <f aca="false">MONTH(A375)</f>
        <v>1</v>
      </c>
      <c r="D375" s="10" t="str">
        <f aca="false">TEXT(A375,"mmm")</f>
        <v>Jan</v>
      </c>
      <c r="E375" s="10" t="str">
        <f aca="false">"Q"&amp;ROUNDUP(C375/3,0)</f>
        <v>Q1</v>
      </c>
      <c r="F375" s="10" t="str">
        <f aca="false">TEXT(A375,"ddd")</f>
        <v>Wed</v>
      </c>
      <c r="G375" s="10" t="str">
        <f aca="false">IF(WEEKDAY(A375,2)&gt;5,"Yes","No")</f>
        <v>No</v>
      </c>
      <c r="H375" s="10"/>
    </row>
    <row r="376" customFormat="false" ht="15" hidden="false" customHeight="true" outlineLevel="0" collapsed="false">
      <c r="A376" s="11" t="n">
        <v>45666</v>
      </c>
      <c r="B376" s="10" t="n">
        <f aca="false">YEAR(A376)</f>
        <v>2025</v>
      </c>
      <c r="C376" s="10" t="n">
        <f aca="false">MONTH(A376)</f>
        <v>1</v>
      </c>
      <c r="D376" s="10" t="str">
        <f aca="false">TEXT(A376,"mmm")</f>
        <v>Jan</v>
      </c>
      <c r="E376" s="10" t="str">
        <f aca="false">"Q"&amp;ROUNDUP(C376/3,0)</f>
        <v>Q1</v>
      </c>
      <c r="F376" s="10" t="str">
        <f aca="false">TEXT(A376,"ddd")</f>
        <v>Thu</v>
      </c>
      <c r="G376" s="10" t="str">
        <f aca="false">IF(WEEKDAY(A376,2)&gt;5,"Yes","No")</f>
        <v>No</v>
      </c>
      <c r="H376" s="10"/>
    </row>
    <row r="377" customFormat="false" ht="15" hidden="false" customHeight="true" outlineLevel="0" collapsed="false">
      <c r="A377" s="11" t="n">
        <v>45667</v>
      </c>
      <c r="B377" s="10" t="n">
        <f aca="false">YEAR(A377)</f>
        <v>2025</v>
      </c>
      <c r="C377" s="10" t="n">
        <f aca="false">MONTH(A377)</f>
        <v>1</v>
      </c>
      <c r="D377" s="10" t="str">
        <f aca="false">TEXT(A377,"mmm")</f>
        <v>Jan</v>
      </c>
      <c r="E377" s="10" t="str">
        <f aca="false">"Q"&amp;ROUNDUP(C377/3,0)</f>
        <v>Q1</v>
      </c>
      <c r="F377" s="10" t="str">
        <f aca="false">TEXT(A377,"ddd")</f>
        <v>Fri</v>
      </c>
      <c r="G377" s="10" t="str">
        <f aca="false">IF(WEEKDAY(A377,2)&gt;5,"Yes","No")</f>
        <v>No</v>
      </c>
      <c r="H377" s="10"/>
    </row>
    <row r="378" customFormat="false" ht="15" hidden="false" customHeight="true" outlineLevel="0" collapsed="false">
      <c r="A378" s="11" t="n">
        <v>45668</v>
      </c>
      <c r="B378" s="10" t="n">
        <f aca="false">YEAR(A378)</f>
        <v>2025</v>
      </c>
      <c r="C378" s="10" t="n">
        <f aca="false">MONTH(A378)</f>
        <v>1</v>
      </c>
      <c r="D378" s="10" t="str">
        <f aca="false">TEXT(A378,"mmm")</f>
        <v>Jan</v>
      </c>
      <c r="E378" s="10" t="str">
        <f aca="false">"Q"&amp;ROUNDUP(C378/3,0)</f>
        <v>Q1</v>
      </c>
      <c r="F378" s="10" t="str">
        <f aca="false">TEXT(A378,"ddd")</f>
        <v>Sat</v>
      </c>
      <c r="G378" s="10" t="str">
        <f aca="false">IF(WEEKDAY(A378,2)&gt;5,"Yes","No")</f>
        <v>Yes</v>
      </c>
      <c r="H378" s="10"/>
    </row>
    <row r="379" customFormat="false" ht="15" hidden="false" customHeight="true" outlineLevel="0" collapsed="false">
      <c r="A379" s="11" t="n">
        <v>45669</v>
      </c>
      <c r="B379" s="10" t="n">
        <f aca="false">YEAR(A379)</f>
        <v>2025</v>
      </c>
      <c r="C379" s="10" t="n">
        <f aca="false">MONTH(A379)</f>
        <v>1</v>
      </c>
      <c r="D379" s="10" t="str">
        <f aca="false">TEXT(A379,"mmm")</f>
        <v>Jan</v>
      </c>
      <c r="E379" s="10" t="str">
        <f aca="false">"Q"&amp;ROUNDUP(C379/3,0)</f>
        <v>Q1</v>
      </c>
      <c r="F379" s="10" t="str">
        <f aca="false">TEXT(A379,"ddd")</f>
        <v>Sun</v>
      </c>
      <c r="G379" s="10" t="str">
        <f aca="false">IF(WEEKDAY(A379,2)&gt;5,"Yes","No")</f>
        <v>Yes</v>
      </c>
      <c r="H379" s="10"/>
    </row>
    <row r="380" customFormat="false" ht="15" hidden="false" customHeight="true" outlineLevel="0" collapsed="false">
      <c r="A380" s="11" t="n">
        <v>45670</v>
      </c>
      <c r="B380" s="10" t="n">
        <f aca="false">YEAR(A380)</f>
        <v>2025</v>
      </c>
      <c r="C380" s="10" t="n">
        <f aca="false">MONTH(A380)</f>
        <v>1</v>
      </c>
      <c r="D380" s="10" t="str">
        <f aca="false">TEXT(A380,"mmm")</f>
        <v>Jan</v>
      </c>
      <c r="E380" s="10" t="str">
        <f aca="false">"Q"&amp;ROUNDUP(C380/3,0)</f>
        <v>Q1</v>
      </c>
      <c r="F380" s="10" t="str">
        <f aca="false">TEXT(A380,"ddd")</f>
        <v>Mon</v>
      </c>
      <c r="G380" s="10" t="str">
        <f aca="false">IF(WEEKDAY(A380,2)&gt;5,"Yes","No")</f>
        <v>No</v>
      </c>
      <c r="H380" s="10"/>
    </row>
    <row r="381" customFormat="false" ht="15" hidden="false" customHeight="true" outlineLevel="0" collapsed="false">
      <c r="A381" s="11" t="n">
        <v>45671</v>
      </c>
      <c r="B381" s="10" t="n">
        <f aca="false">YEAR(A381)</f>
        <v>2025</v>
      </c>
      <c r="C381" s="10" t="n">
        <f aca="false">MONTH(A381)</f>
        <v>1</v>
      </c>
      <c r="D381" s="10" t="str">
        <f aca="false">TEXT(A381,"mmm")</f>
        <v>Jan</v>
      </c>
      <c r="E381" s="10" t="str">
        <f aca="false">"Q"&amp;ROUNDUP(C381/3,0)</f>
        <v>Q1</v>
      </c>
      <c r="F381" s="10" t="str">
        <f aca="false">TEXT(A381,"ddd")</f>
        <v>Tue</v>
      </c>
      <c r="G381" s="10" t="str">
        <f aca="false">IF(WEEKDAY(A381,2)&gt;5,"Yes","No")</f>
        <v>No</v>
      </c>
      <c r="H381" s="10"/>
    </row>
    <row r="382" customFormat="false" ht="15" hidden="false" customHeight="true" outlineLevel="0" collapsed="false">
      <c r="A382" s="11" t="n">
        <v>45672</v>
      </c>
      <c r="B382" s="10" t="n">
        <f aca="false">YEAR(A382)</f>
        <v>2025</v>
      </c>
      <c r="C382" s="10" t="n">
        <f aca="false">MONTH(A382)</f>
        <v>1</v>
      </c>
      <c r="D382" s="10" t="str">
        <f aca="false">TEXT(A382,"mmm")</f>
        <v>Jan</v>
      </c>
      <c r="E382" s="10" t="str">
        <f aca="false">"Q"&amp;ROUNDUP(C382/3,0)</f>
        <v>Q1</v>
      </c>
      <c r="F382" s="10" t="str">
        <f aca="false">TEXT(A382,"ddd")</f>
        <v>Wed</v>
      </c>
      <c r="G382" s="10" t="str">
        <f aca="false">IF(WEEKDAY(A382,2)&gt;5,"Yes","No")</f>
        <v>No</v>
      </c>
      <c r="H382" s="10"/>
    </row>
    <row r="383" customFormat="false" ht="15" hidden="false" customHeight="true" outlineLevel="0" collapsed="false">
      <c r="A383" s="11" t="n">
        <v>45673</v>
      </c>
      <c r="B383" s="10" t="n">
        <f aca="false">YEAR(A383)</f>
        <v>2025</v>
      </c>
      <c r="C383" s="10" t="n">
        <f aca="false">MONTH(A383)</f>
        <v>1</v>
      </c>
      <c r="D383" s="10" t="str">
        <f aca="false">TEXT(A383,"mmm")</f>
        <v>Jan</v>
      </c>
      <c r="E383" s="10" t="str">
        <f aca="false">"Q"&amp;ROUNDUP(C383/3,0)</f>
        <v>Q1</v>
      </c>
      <c r="F383" s="10" t="str">
        <f aca="false">TEXT(A383,"ddd")</f>
        <v>Thu</v>
      </c>
      <c r="G383" s="10" t="str">
        <f aca="false">IF(WEEKDAY(A383,2)&gt;5,"Yes","No")</f>
        <v>No</v>
      </c>
      <c r="H383" s="10"/>
    </row>
    <row r="384" customFormat="false" ht="15" hidden="false" customHeight="true" outlineLevel="0" collapsed="false">
      <c r="A384" s="11" t="n">
        <v>45674</v>
      </c>
      <c r="B384" s="10" t="n">
        <f aca="false">YEAR(A384)</f>
        <v>2025</v>
      </c>
      <c r="C384" s="10" t="n">
        <f aca="false">MONTH(A384)</f>
        <v>1</v>
      </c>
      <c r="D384" s="10" t="str">
        <f aca="false">TEXT(A384,"mmm")</f>
        <v>Jan</v>
      </c>
      <c r="E384" s="10" t="str">
        <f aca="false">"Q"&amp;ROUNDUP(C384/3,0)</f>
        <v>Q1</v>
      </c>
      <c r="F384" s="10" t="str">
        <f aca="false">TEXT(A384,"ddd")</f>
        <v>Fri</v>
      </c>
      <c r="G384" s="10" t="str">
        <f aca="false">IF(WEEKDAY(A384,2)&gt;5,"Yes","No")</f>
        <v>No</v>
      </c>
      <c r="H384" s="10"/>
    </row>
    <row r="385" customFormat="false" ht="15" hidden="false" customHeight="true" outlineLevel="0" collapsed="false">
      <c r="A385" s="11" t="n">
        <v>45675</v>
      </c>
      <c r="B385" s="10" t="n">
        <f aca="false">YEAR(A385)</f>
        <v>2025</v>
      </c>
      <c r="C385" s="10" t="n">
        <f aca="false">MONTH(A385)</f>
        <v>1</v>
      </c>
      <c r="D385" s="10" t="str">
        <f aca="false">TEXT(A385,"mmm")</f>
        <v>Jan</v>
      </c>
      <c r="E385" s="10" t="str">
        <f aca="false">"Q"&amp;ROUNDUP(C385/3,0)</f>
        <v>Q1</v>
      </c>
      <c r="F385" s="10" t="str">
        <f aca="false">TEXT(A385,"ddd")</f>
        <v>Sat</v>
      </c>
      <c r="G385" s="10" t="str">
        <f aca="false">IF(WEEKDAY(A385,2)&gt;5,"Yes","No")</f>
        <v>Yes</v>
      </c>
      <c r="H385" s="10"/>
    </row>
    <row r="386" customFormat="false" ht="15" hidden="false" customHeight="true" outlineLevel="0" collapsed="false">
      <c r="A386" s="11" t="n">
        <v>45676</v>
      </c>
      <c r="B386" s="10" t="n">
        <f aca="false">YEAR(A386)</f>
        <v>2025</v>
      </c>
      <c r="C386" s="10" t="n">
        <f aca="false">MONTH(A386)</f>
        <v>1</v>
      </c>
      <c r="D386" s="10" t="str">
        <f aca="false">TEXT(A386,"mmm")</f>
        <v>Jan</v>
      </c>
      <c r="E386" s="10" t="str">
        <f aca="false">"Q"&amp;ROUNDUP(C386/3,0)</f>
        <v>Q1</v>
      </c>
      <c r="F386" s="10" t="str">
        <f aca="false">TEXT(A386,"ddd")</f>
        <v>Sun</v>
      </c>
      <c r="G386" s="10" t="str">
        <f aca="false">IF(WEEKDAY(A386,2)&gt;5,"Yes","No")</f>
        <v>Yes</v>
      </c>
      <c r="H386" s="10"/>
    </row>
    <row r="387" customFormat="false" ht="15" hidden="false" customHeight="true" outlineLevel="0" collapsed="false">
      <c r="A387" s="11" t="n">
        <v>45677</v>
      </c>
      <c r="B387" s="10" t="n">
        <f aca="false">YEAR(A387)</f>
        <v>2025</v>
      </c>
      <c r="C387" s="10" t="n">
        <f aca="false">MONTH(A387)</f>
        <v>1</v>
      </c>
      <c r="D387" s="10" t="str">
        <f aca="false">TEXT(A387,"mmm")</f>
        <v>Jan</v>
      </c>
      <c r="E387" s="10" t="str">
        <f aca="false">"Q"&amp;ROUNDUP(C387/3,0)</f>
        <v>Q1</v>
      </c>
      <c r="F387" s="10" t="str">
        <f aca="false">TEXT(A387,"ddd")</f>
        <v>Mon</v>
      </c>
      <c r="G387" s="10" t="str">
        <f aca="false">IF(WEEKDAY(A387,2)&gt;5,"Yes","No")</f>
        <v>No</v>
      </c>
      <c r="H387" s="10"/>
    </row>
    <row r="388" customFormat="false" ht="15" hidden="false" customHeight="true" outlineLevel="0" collapsed="false">
      <c r="A388" s="11" t="n">
        <v>45678</v>
      </c>
      <c r="B388" s="10" t="n">
        <f aca="false">YEAR(A388)</f>
        <v>2025</v>
      </c>
      <c r="C388" s="10" t="n">
        <f aca="false">MONTH(A388)</f>
        <v>1</v>
      </c>
      <c r="D388" s="10" t="str">
        <f aca="false">TEXT(A388,"mmm")</f>
        <v>Jan</v>
      </c>
      <c r="E388" s="10" t="str">
        <f aca="false">"Q"&amp;ROUNDUP(C388/3,0)</f>
        <v>Q1</v>
      </c>
      <c r="F388" s="10" t="str">
        <f aca="false">TEXT(A388,"ddd")</f>
        <v>Tue</v>
      </c>
      <c r="G388" s="10" t="str">
        <f aca="false">IF(WEEKDAY(A388,2)&gt;5,"Yes","No")</f>
        <v>No</v>
      </c>
      <c r="H388" s="10"/>
    </row>
    <row r="389" customFormat="false" ht="15" hidden="false" customHeight="true" outlineLevel="0" collapsed="false">
      <c r="A389" s="11" t="n">
        <v>45679</v>
      </c>
      <c r="B389" s="10" t="n">
        <f aca="false">YEAR(A389)</f>
        <v>2025</v>
      </c>
      <c r="C389" s="10" t="n">
        <f aca="false">MONTH(A389)</f>
        <v>1</v>
      </c>
      <c r="D389" s="10" t="str">
        <f aca="false">TEXT(A389,"mmm")</f>
        <v>Jan</v>
      </c>
      <c r="E389" s="10" t="str">
        <f aca="false">"Q"&amp;ROUNDUP(C389/3,0)</f>
        <v>Q1</v>
      </c>
      <c r="F389" s="10" t="str">
        <f aca="false">TEXT(A389,"ddd")</f>
        <v>Wed</v>
      </c>
      <c r="G389" s="10" t="str">
        <f aca="false">IF(WEEKDAY(A389,2)&gt;5,"Yes","No")</f>
        <v>No</v>
      </c>
      <c r="H389" s="10"/>
    </row>
    <row r="390" customFormat="false" ht="15" hidden="false" customHeight="true" outlineLevel="0" collapsed="false">
      <c r="A390" s="11" t="n">
        <v>45680</v>
      </c>
      <c r="B390" s="10" t="n">
        <f aca="false">YEAR(A390)</f>
        <v>2025</v>
      </c>
      <c r="C390" s="10" t="n">
        <f aca="false">MONTH(A390)</f>
        <v>1</v>
      </c>
      <c r="D390" s="10" t="str">
        <f aca="false">TEXT(A390,"mmm")</f>
        <v>Jan</v>
      </c>
      <c r="E390" s="10" t="str">
        <f aca="false">"Q"&amp;ROUNDUP(C390/3,0)</f>
        <v>Q1</v>
      </c>
      <c r="F390" s="10" t="str">
        <f aca="false">TEXT(A390,"ddd")</f>
        <v>Thu</v>
      </c>
      <c r="G390" s="10" t="str">
        <f aca="false">IF(WEEKDAY(A390,2)&gt;5,"Yes","No")</f>
        <v>No</v>
      </c>
      <c r="H390" s="10"/>
    </row>
    <row r="391" customFormat="false" ht="15" hidden="false" customHeight="true" outlineLevel="0" collapsed="false">
      <c r="A391" s="11" t="n">
        <v>45681</v>
      </c>
      <c r="B391" s="10" t="n">
        <f aca="false">YEAR(A391)</f>
        <v>2025</v>
      </c>
      <c r="C391" s="10" t="n">
        <f aca="false">MONTH(A391)</f>
        <v>1</v>
      </c>
      <c r="D391" s="10" t="str">
        <f aca="false">TEXT(A391,"mmm")</f>
        <v>Jan</v>
      </c>
      <c r="E391" s="10" t="str">
        <f aca="false">"Q"&amp;ROUNDUP(C391/3,0)</f>
        <v>Q1</v>
      </c>
      <c r="F391" s="10" t="str">
        <f aca="false">TEXT(A391,"ddd")</f>
        <v>Fri</v>
      </c>
      <c r="G391" s="10" t="str">
        <f aca="false">IF(WEEKDAY(A391,2)&gt;5,"Yes","No")</f>
        <v>No</v>
      </c>
      <c r="H391" s="10"/>
    </row>
    <row r="392" customFormat="false" ht="15" hidden="false" customHeight="true" outlineLevel="0" collapsed="false">
      <c r="A392" s="11" t="n">
        <v>45682</v>
      </c>
      <c r="B392" s="10" t="n">
        <f aca="false">YEAR(A392)</f>
        <v>2025</v>
      </c>
      <c r="C392" s="10" t="n">
        <f aca="false">MONTH(A392)</f>
        <v>1</v>
      </c>
      <c r="D392" s="10" t="str">
        <f aca="false">TEXT(A392,"mmm")</f>
        <v>Jan</v>
      </c>
      <c r="E392" s="10" t="str">
        <f aca="false">"Q"&amp;ROUNDUP(C392/3,0)</f>
        <v>Q1</v>
      </c>
      <c r="F392" s="10" t="str">
        <f aca="false">TEXT(A392,"ddd")</f>
        <v>Sat</v>
      </c>
      <c r="G392" s="10" t="str">
        <f aca="false">IF(WEEKDAY(A392,2)&gt;5,"Yes","No")</f>
        <v>Yes</v>
      </c>
      <c r="H392" s="10"/>
    </row>
    <row r="393" customFormat="false" ht="15" hidden="false" customHeight="true" outlineLevel="0" collapsed="false">
      <c r="A393" s="11" t="n">
        <v>45683</v>
      </c>
      <c r="B393" s="10" t="n">
        <f aca="false">YEAR(A393)</f>
        <v>2025</v>
      </c>
      <c r="C393" s="10" t="n">
        <f aca="false">MONTH(A393)</f>
        <v>1</v>
      </c>
      <c r="D393" s="10" t="str">
        <f aca="false">TEXT(A393,"mmm")</f>
        <v>Jan</v>
      </c>
      <c r="E393" s="10" t="str">
        <f aca="false">"Q"&amp;ROUNDUP(C393/3,0)</f>
        <v>Q1</v>
      </c>
      <c r="F393" s="10" t="str">
        <f aca="false">TEXT(A393,"ddd")</f>
        <v>Sun</v>
      </c>
      <c r="G393" s="10" t="str">
        <f aca="false">IF(WEEKDAY(A393,2)&gt;5,"Yes","No")</f>
        <v>Yes</v>
      </c>
      <c r="H393" s="10"/>
    </row>
    <row r="394" customFormat="false" ht="15" hidden="false" customHeight="true" outlineLevel="0" collapsed="false">
      <c r="A394" s="11" t="n">
        <v>45684</v>
      </c>
      <c r="B394" s="10" t="n">
        <f aca="false">YEAR(A394)</f>
        <v>2025</v>
      </c>
      <c r="C394" s="10" t="n">
        <f aca="false">MONTH(A394)</f>
        <v>1</v>
      </c>
      <c r="D394" s="10" t="str">
        <f aca="false">TEXT(A394,"mmm")</f>
        <v>Jan</v>
      </c>
      <c r="E394" s="10" t="str">
        <f aca="false">"Q"&amp;ROUNDUP(C394/3,0)</f>
        <v>Q1</v>
      </c>
      <c r="F394" s="10" t="str">
        <f aca="false">TEXT(A394,"ddd")</f>
        <v>Mon</v>
      </c>
      <c r="G394" s="10" t="str">
        <f aca="false">IF(WEEKDAY(A394,2)&gt;5,"Yes","No")</f>
        <v>No</v>
      </c>
      <c r="H394" s="10"/>
    </row>
    <row r="395" customFormat="false" ht="15" hidden="false" customHeight="true" outlineLevel="0" collapsed="false">
      <c r="A395" s="11" t="n">
        <v>45685</v>
      </c>
      <c r="B395" s="10" t="n">
        <f aca="false">YEAR(A395)</f>
        <v>2025</v>
      </c>
      <c r="C395" s="10" t="n">
        <f aca="false">MONTH(A395)</f>
        <v>1</v>
      </c>
      <c r="D395" s="10" t="str">
        <f aca="false">TEXT(A395,"mmm")</f>
        <v>Jan</v>
      </c>
      <c r="E395" s="10" t="str">
        <f aca="false">"Q"&amp;ROUNDUP(C395/3,0)</f>
        <v>Q1</v>
      </c>
      <c r="F395" s="10" t="str">
        <f aca="false">TEXT(A395,"ddd")</f>
        <v>Tue</v>
      </c>
      <c r="G395" s="10" t="str">
        <f aca="false">IF(WEEKDAY(A395,2)&gt;5,"Yes","No")</f>
        <v>No</v>
      </c>
      <c r="H395" s="10"/>
    </row>
    <row r="396" customFormat="false" ht="15" hidden="false" customHeight="true" outlineLevel="0" collapsed="false">
      <c r="A396" s="11" t="n">
        <v>45686</v>
      </c>
      <c r="B396" s="10" t="n">
        <f aca="false">YEAR(A396)</f>
        <v>2025</v>
      </c>
      <c r="C396" s="10" t="n">
        <f aca="false">MONTH(A396)</f>
        <v>1</v>
      </c>
      <c r="D396" s="10" t="str">
        <f aca="false">TEXT(A396,"mmm")</f>
        <v>Jan</v>
      </c>
      <c r="E396" s="10" t="str">
        <f aca="false">"Q"&amp;ROUNDUP(C396/3,0)</f>
        <v>Q1</v>
      </c>
      <c r="F396" s="10" t="str">
        <f aca="false">TEXT(A396,"ddd")</f>
        <v>Wed</v>
      </c>
      <c r="G396" s="10" t="str">
        <f aca="false">IF(WEEKDAY(A396,2)&gt;5,"Yes","No")</f>
        <v>No</v>
      </c>
      <c r="H396" s="10"/>
    </row>
    <row r="397" customFormat="false" ht="15" hidden="false" customHeight="true" outlineLevel="0" collapsed="false">
      <c r="A397" s="11" t="n">
        <v>45687</v>
      </c>
      <c r="B397" s="10" t="n">
        <f aca="false">YEAR(A397)</f>
        <v>2025</v>
      </c>
      <c r="C397" s="10" t="n">
        <f aca="false">MONTH(A397)</f>
        <v>1</v>
      </c>
      <c r="D397" s="10" t="str">
        <f aca="false">TEXT(A397,"mmm")</f>
        <v>Jan</v>
      </c>
      <c r="E397" s="10" t="str">
        <f aca="false">"Q"&amp;ROUNDUP(C397/3,0)</f>
        <v>Q1</v>
      </c>
      <c r="F397" s="10" t="str">
        <f aca="false">TEXT(A397,"ddd")</f>
        <v>Thu</v>
      </c>
      <c r="G397" s="10" t="str">
        <f aca="false">IF(WEEKDAY(A397,2)&gt;5,"Yes","No")</f>
        <v>No</v>
      </c>
      <c r="H397" s="10"/>
    </row>
    <row r="398" customFormat="false" ht="15" hidden="false" customHeight="true" outlineLevel="0" collapsed="false">
      <c r="A398" s="11" t="n">
        <v>45688</v>
      </c>
      <c r="B398" s="10" t="n">
        <f aca="false">YEAR(A398)</f>
        <v>2025</v>
      </c>
      <c r="C398" s="10" t="n">
        <f aca="false">MONTH(A398)</f>
        <v>1</v>
      </c>
      <c r="D398" s="10" t="str">
        <f aca="false">TEXT(A398,"mmm")</f>
        <v>Jan</v>
      </c>
      <c r="E398" s="10" t="str">
        <f aca="false">"Q"&amp;ROUNDUP(C398/3,0)</f>
        <v>Q1</v>
      </c>
      <c r="F398" s="10" t="str">
        <f aca="false">TEXT(A398,"ddd")</f>
        <v>Fri</v>
      </c>
      <c r="G398" s="10" t="str">
        <f aca="false">IF(WEEKDAY(A398,2)&gt;5,"Yes","No")</f>
        <v>No</v>
      </c>
      <c r="H398" s="10"/>
    </row>
    <row r="399" customFormat="false" ht="15" hidden="false" customHeight="true" outlineLevel="0" collapsed="false">
      <c r="A399" s="11" t="n">
        <v>45689</v>
      </c>
      <c r="B399" s="10" t="n">
        <f aca="false">YEAR(A399)</f>
        <v>2025</v>
      </c>
      <c r="C399" s="10" t="n">
        <f aca="false">MONTH(A399)</f>
        <v>2</v>
      </c>
      <c r="D399" s="10" t="str">
        <f aca="false">TEXT(A399,"mmm")</f>
        <v>Feb</v>
      </c>
      <c r="E399" s="10" t="str">
        <f aca="false">"Q"&amp;ROUNDUP(C399/3,0)</f>
        <v>Q1</v>
      </c>
      <c r="F399" s="10" t="str">
        <f aca="false">TEXT(A399,"ddd")</f>
        <v>Sat</v>
      </c>
      <c r="G399" s="10" t="str">
        <f aca="false">IF(WEEKDAY(A399,2)&gt;5,"Yes","No")</f>
        <v>Yes</v>
      </c>
      <c r="H399" s="10"/>
    </row>
    <row r="400" customFormat="false" ht="15" hidden="false" customHeight="true" outlineLevel="0" collapsed="false">
      <c r="A400" s="11" t="n">
        <v>45690</v>
      </c>
      <c r="B400" s="10" t="n">
        <f aca="false">YEAR(A400)</f>
        <v>2025</v>
      </c>
      <c r="C400" s="10" t="n">
        <f aca="false">MONTH(A400)</f>
        <v>2</v>
      </c>
      <c r="D400" s="10" t="str">
        <f aca="false">TEXT(A400,"mmm")</f>
        <v>Feb</v>
      </c>
      <c r="E400" s="10" t="str">
        <f aca="false">"Q"&amp;ROUNDUP(C400/3,0)</f>
        <v>Q1</v>
      </c>
      <c r="F400" s="10" t="str">
        <f aca="false">TEXT(A400,"ddd")</f>
        <v>Sun</v>
      </c>
      <c r="G400" s="10" t="str">
        <f aca="false">IF(WEEKDAY(A400,2)&gt;5,"Yes","No")</f>
        <v>Yes</v>
      </c>
      <c r="H400" s="10"/>
    </row>
    <row r="401" customFormat="false" ht="15" hidden="false" customHeight="true" outlineLevel="0" collapsed="false">
      <c r="A401" s="11" t="n">
        <v>45691</v>
      </c>
      <c r="B401" s="10" t="n">
        <f aca="false">YEAR(A401)</f>
        <v>2025</v>
      </c>
      <c r="C401" s="10" t="n">
        <f aca="false">MONTH(A401)</f>
        <v>2</v>
      </c>
      <c r="D401" s="10" t="str">
        <f aca="false">TEXT(A401,"mmm")</f>
        <v>Feb</v>
      </c>
      <c r="E401" s="10" t="str">
        <f aca="false">"Q"&amp;ROUNDUP(C401/3,0)</f>
        <v>Q1</v>
      </c>
      <c r="F401" s="10" t="str">
        <f aca="false">TEXT(A401,"ddd")</f>
        <v>Mon</v>
      </c>
      <c r="G401" s="10" t="str">
        <f aca="false">IF(WEEKDAY(A401,2)&gt;5,"Yes","No")</f>
        <v>No</v>
      </c>
      <c r="H401" s="10"/>
    </row>
    <row r="402" customFormat="false" ht="15" hidden="false" customHeight="true" outlineLevel="0" collapsed="false">
      <c r="A402" s="11" t="n">
        <v>45692</v>
      </c>
      <c r="B402" s="10" t="n">
        <f aca="false">YEAR(A402)</f>
        <v>2025</v>
      </c>
      <c r="C402" s="10" t="n">
        <f aca="false">MONTH(A402)</f>
        <v>2</v>
      </c>
      <c r="D402" s="10" t="str">
        <f aca="false">TEXT(A402,"mmm")</f>
        <v>Feb</v>
      </c>
      <c r="E402" s="10" t="str">
        <f aca="false">"Q"&amp;ROUNDUP(C402/3,0)</f>
        <v>Q1</v>
      </c>
      <c r="F402" s="10" t="str">
        <f aca="false">TEXT(A402,"ddd")</f>
        <v>Tue</v>
      </c>
      <c r="G402" s="10" t="str">
        <f aca="false">IF(WEEKDAY(A402,2)&gt;5,"Yes","No")</f>
        <v>No</v>
      </c>
      <c r="H402" s="10"/>
    </row>
    <row r="403" customFormat="false" ht="15" hidden="false" customHeight="true" outlineLevel="0" collapsed="false">
      <c r="A403" s="11" t="n">
        <v>45693</v>
      </c>
      <c r="B403" s="10" t="n">
        <f aca="false">YEAR(A403)</f>
        <v>2025</v>
      </c>
      <c r="C403" s="10" t="n">
        <f aca="false">MONTH(A403)</f>
        <v>2</v>
      </c>
      <c r="D403" s="10" t="str">
        <f aca="false">TEXT(A403,"mmm")</f>
        <v>Feb</v>
      </c>
      <c r="E403" s="10" t="str">
        <f aca="false">"Q"&amp;ROUNDUP(C403/3,0)</f>
        <v>Q1</v>
      </c>
      <c r="F403" s="10" t="str">
        <f aca="false">TEXT(A403,"ddd")</f>
        <v>Wed</v>
      </c>
      <c r="G403" s="10" t="str">
        <f aca="false">IF(WEEKDAY(A403,2)&gt;5,"Yes","No")</f>
        <v>No</v>
      </c>
      <c r="H403" s="10"/>
    </row>
    <row r="404" customFormat="false" ht="15" hidden="false" customHeight="true" outlineLevel="0" collapsed="false">
      <c r="A404" s="11" t="n">
        <v>45694</v>
      </c>
      <c r="B404" s="10" t="n">
        <f aca="false">YEAR(A404)</f>
        <v>2025</v>
      </c>
      <c r="C404" s="10" t="n">
        <f aca="false">MONTH(A404)</f>
        <v>2</v>
      </c>
      <c r="D404" s="10" t="str">
        <f aca="false">TEXT(A404,"mmm")</f>
        <v>Feb</v>
      </c>
      <c r="E404" s="10" t="str">
        <f aca="false">"Q"&amp;ROUNDUP(C404/3,0)</f>
        <v>Q1</v>
      </c>
      <c r="F404" s="10" t="str">
        <f aca="false">TEXT(A404,"ddd")</f>
        <v>Thu</v>
      </c>
      <c r="G404" s="10" t="str">
        <f aca="false">IF(WEEKDAY(A404,2)&gt;5,"Yes","No")</f>
        <v>No</v>
      </c>
      <c r="H404" s="10"/>
    </row>
    <row r="405" customFormat="false" ht="15" hidden="false" customHeight="true" outlineLevel="0" collapsed="false">
      <c r="A405" s="11" t="n">
        <v>45695</v>
      </c>
      <c r="B405" s="10" t="n">
        <f aca="false">YEAR(A405)</f>
        <v>2025</v>
      </c>
      <c r="C405" s="10" t="n">
        <f aca="false">MONTH(A405)</f>
        <v>2</v>
      </c>
      <c r="D405" s="10" t="str">
        <f aca="false">TEXT(A405,"mmm")</f>
        <v>Feb</v>
      </c>
      <c r="E405" s="10" t="str">
        <f aca="false">"Q"&amp;ROUNDUP(C405/3,0)</f>
        <v>Q1</v>
      </c>
      <c r="F405" s="10" t="str">
        <f aca="false">TEXT(A405,"ddd")</f>
        <v>Fri</v>
      </c>
      <c r="G405" s="10" t="str">
        <f aca="false">IF(WEEKDAY(A405,2)&gt;5,"Yes","No")</f>
        <v>No</v>
      </c>
      <c r="H405" s="10"/>
    </row>
    <row r="406" customFormat="false" ht="15" hidden="false" customHeight="true" outlineLevel="0" collapsed="false">
      <c r="A406" s="11" t="n">
        <v>45696</v>
      </c>
      <c r="B406" s="10" t="n">
        <f aca="false">YEAR(A406)</f>
        <v>2025</v>
      </c>
      <c r="C406" s="10" t="n">
        <f aca="false">MONTH(A406)</f>
        <v>2</v>
      </c>
      <c r="D406" s="10" t="str">
        <f aca="false">TEXT(A406,"mmm")</f>
        <v>Feb</v>
      </c>
      <c r="E406" s="10" t="str">
        <f aca="false">"Q"&amp;ROUNDUP(C406/3,0)</f>
        <v>Q1</v>
      </c>
      <c r="F406" s="10" t="str">
        <f aca="false">TEXT(A406,"ddd")</f>
        <v>Sat</v>
      </c>
      <c r="G406" s="10" t="str">
        <f aca="false">IF(WEEKDAY(A406,2)&gt;5,"Yes","No")</f>
        <v>Yes</v>
      </c>
      <c r="H406" s="10"/>
    </row>
    <row r="407" customFormat="false" ht="15" hidden="false" customHeight="true" outlineLevel="0" collapsed="false">
      <c r="A407" s="11" t="n">
        <v>45697</v>
      </c>
      <c r="B407" s="10" t="n">
        <f aca="false">YEAR(A407)</f>
        <v>2025</v>
      </c>
      <c r="C407" s="10" t="n">
        <f aca="false">MONTH(A407)</f>
        <v>2</v>
      </c>
      <c r="D407" s="10" t="str">
        <f aca="false">TEXT(A407,"mmm")</f>
        <v>Feb</v>
      </c>
      <c r="E407" s="10" t="str">
        <f aca="false">"Q"&amp;ROUNDUP(C407/3,0)</f>
        <v>Q1</v>
      </c>
      <c r="F407" s="10" t="str">
        <f aca="false">TEXT(A407,"ddd")</f>
        <v>Sun</v>
      </c>
      <c r="G407" s="10" t="str">
        <f aca="false">IF(WEEKDAY(A407,2)&gt;5,"Yes","No")</f>
        <v>Yes</v>
      </c>
      <c r="H407" s="10"/>
    </row>
    <row r="408" customFormat="false" ht="15" hidden="false" customHeight="true" outlineLevel="0" collapsed="false">
      <c r="A408" s="11" t="n">
        <v>45698</v>
      </c>
      <c r="B408" s="10" t="n">
        <f aca="false">YEAR(A408)</f>
        <v>2025</v>
      </c>
      <c r="C408" s="10" t="n">
        <f aca="false">MONTH(A408)</f>
        <v>2</v>
      </c>
      <c r="D408" s="10" t="str">
        <f aca="false">TEXT(A408,"mmm")</f>
        <v>Feb</v>
      </c>
      <c r="E408" s="10" t="str">
        <f aca="false">"Q"&amp;ROUNDUP(C408/3,0)</f>
        <v>Q1</v>
      </c>
      <c r="F408" s="10" t="str">
        <f aca="false">TEXT(A408,"ddd")</f>
        <v>Mon</v>
      </c>
      <c r="G408" s="10" t="str">
        <f aca="false">IF(WEEKDAY(A408,2)&gt;5,"Yes","No")</f>
        <v>No</v>
      </c>
      <c r="H408" s="10"/>
    </row>
    <row r="409" customFormat="false" ht="15" hidden="false" customHeight="true" outlineLevel="0" collapsed="false">
      <c r="A409" s="11" t="n">
        <v>45699</v>
      </c>
      <c r="B409" s="10" t="n">
        <f aca="false">YEAR(A409)</f>
        <v>2025</v>
      </c>
      <c r="C409" s="10" t="n">
        <f aca="false">MONTH(A409)</f>
        <v>2</v>
      </c>
      <c r="D409" s="10" t="str">
        <f aca="false">TEXT(A409,"mmm")</f>
        <v>Feb</v>
      </c>
      <c r="E409" s="10" t="str">
        <f aca="false">"Q"&amp;ROUNDUP(C409/3,0)</f>
        <v>Q1</v>
      </c>
      <c r="F409" s="10" t="str">
        <f aca="false">TEXT(A409,"ddd")</f>
        <v>Tue</v>
      </c>
      <c r="G409" s="10" t="str">
        <f aca="false">IF(WEEKDAY(A409,2)&gt;5,"Yes","No")</f>
        <v>No</v>
      </c>
      <c r="H409" s="10"/>
    </row>
    <row r="410" customFormat="false" ht="15" hidden="false" customHeight="true" outlineLevel="0" collapsed="false">
      <c r="A410" s="11" t="n">
        <v>45700</v>
      </c>
      <c r="B410" s="10" t="n">
        <f aca="false">YEAR(A410)</f>
        <v>2025</v>
      </c>
      <c r="C410" s="10" t="n">
        <f aca="false">MONTH(A410)</f>
        <v>2</v>
      </c>
      <c r="D410" s="10" t="str">
        <f aca="false">TEXT(A410,"mmm")</f>
        <v>Feb</v>
      </c>
      <c r="E410" s="10" t="str">
        <f aca="false">"Q"&amp;ROUNDUP(C410/3,0)</f>
        <v>Q1</v>
      </c>
      <c r="F410" s="10" t="str">
        <f aca="false">TEXT(A410,"ddd")</f>
        <v>Wed</v>
      </c>
      <c r="G410" s="10" t="str">
        <f aca="false">IF(WEEKDAY(A410,2)&gt;5,"Yes","No")</f>
        <v>No</v>
      </c>
      <c r="H410" s="10"/>
    </row>
    <row r="411" customFormat="false" ht="15" hidden="false" customHeight="true" outlineLevel="0" collapsed="false">
      <c r="A411" s="11" t="n">
        <v>45701</v>
      </c>
      <c r="B411" s="10" t="n">
        <f aca="false">YEAR(A411)</f>
        <v>2025</v>
      </c>
      <c r="C411" s="10" t="n">
        <f aca="false">MONTH(A411)</f>
        <v>2</v>
      </c>
      <c r="D411" s="10" t="str">
        <f aca="false">TEXT(A411,"mmm")</f>
        <v>Feb</v>
      </c>
      <c r="E411" s="10" t="str">
        <f aca="false">"Q"&amp;ROUNDUP(C411/3,0)</f>
        <v>Q1</v>
      </c>
      <c r="F411" s="10" t="str">
        <f aca="false">TEXT(A411,"ddd")</f>
        <v>Thu</v>
      </c>
      <c r="G411" s="10" t="str">
        <f aca="false">IF(WEEKDAY(A411,2)&gt;5,"Yes","No")</f>
        <v>No</v>
      </c>
      <c r="H411" s="10"/>
    </row>
    <row r="412" customFormat="false" ht="15" hidden="false" customHeight="true" outlineLevel="0" collapsed="false">
      <c r="A412" s="11" t="n">
        <v>45702</v>
      </c>
      <c r="B412" s="10" t="n">
        <f aca="false">YEAR(A412)</f>
        <v>2025</v>
      </c>
      <c r="C412" s="10" t="n">
        <f aca="false">MONTH(A412)</f>
        <v>2</v>
      </c>
      <c r="D412" s="10" t="str">
        <f aca="false">TEXT(A412,"mmm")</f>
        <v>Feb</v>
      </c>
      <c r="E412" s="10" t="str">
        <f aca="false">"Q"&amp;ROUNDUP(C412/3,0)</f>
        <v>Q1</v>
      </c>
      <c r="F412" s="10" t="str">
        <f aca="false">TEXT(A412,"ddd")</f>
        <v>Fri</v>
      </c>
      <c r="G412" s="10" t="str">
        <f aca="false">IF(WEEKDAY(A412,2)&gt;5,"Yes","No")</f>
        <v>No</v>
      </c>
      <c r="H412" s="10"/>
    </row>
    <row r="413" customFormat="false" ht="15" hidden="false" customHeight="true" outlineLevel="0" collapsed="false">
      <c r="A413" s="11" t="n">
        <v>45703</v>
      </c>
      <c r="B413" s="10" t="n">
        <f aca="false">YEAR(A413)</f>
        <v>2025</v>
      </c>
      <c r="C413" s="10" t="n">
        <f aca="false">MONTH(A413)</f>
        <v>2</v>
      </c>
      <c r="D413" s="10" t="str">
        <f aca="false">TEXT(A413,"mmm")</f>
        <v>Feb</v>
      </c>
      <c r="E413" s="10" t="str">
        <f aca="false">"Q"&amp;ROUNDUP(C413/3,0)</f>
        <v>Q1</v>
      </c>
      <c r="F413" s="10" t="str">
        <f aca="false">TEXT(A413,"ddd")</f>
        <v>Sat</v>
      </c>
      <c r="G413" s="10" t="str">
        <f aca="false">IF(WEEKDAY(A413,2)&gt;5,"Yes","No")</f>
        <v>Yes</v>
      </c>
      <c r="H413" s="10"/>
    </row>
    <row r="414" customFormat="false" ht="15" hidden="false" customHeight="true" outlineLevel="0" collapsed="false">
      <c r="A414" s="11" t="n">
        <v>45704</v>
      </c>
      <c r="B414" s="10" t="n">
        <f aca="false">YEAR(A414)</f>
        <v>2025</v>
      </c>
      <c r="C414" s="10" t="n">
        <f aca="false">MONTH(A414)</f>
        <v>2</v>
      </c>
      <c r="D414" s="10" t="str">
        <f aca="false">TEXT(A414,"mmm")</f>
        <v>Feb</v>
      </c>
      <c r="E414" s="10" t="str">
        <f aca="false">"Q"&amp;ROUNDUP(C414/3,0)</f>
        <v>Q1</v>
      </c>
      <c r="F414" s="10" t="str">
        <f aca="false">TEXT(A414,"ddd")</f>
        <v>Sun</v>
      </c>
      <c r="G414" s="10" t="str">
        <f aca="false">IF(WEEKDAY(A414,2)&gt;5,"Yes","No")</f>
        <v>Yes</v>
      </c>
      <c r="H414" s="10"/>
    </row>
    <row r="415" customFormat="false" ht="15" hidden="false" customHeight="true" outlineLevel="0" collapsed="false">
      <c r="A415" s="11" t="n">
        <v>45705</v>
      </c>
      <c r="B415" s="10" t="n">
        <f aca="false">YEAR(A415)</f>
        <v>2025</v>
      </c>
      <c r="C415" s="10" t="n">
        <f aca="false">MONTH(A415)</f>
        <v>2</v>
      </c>
      <c r="D415" s="10" t="str">
        <f aca="false">TEXT(A415,"mmm")</f>
        <v>Feb</v>
      </c>
      <c r="E415" s="10" t="str">
        <f aca="false">"Q"&amp;ROUNDUP(C415/3,0)</f>
        <v>Q1</v>
      </c>
      <c r="F415" s="10" t="str">
        <f aca="false">TEXT(A415,"ddd")</f>
        <v>Mon</v>
      </c>
      <c r="G415" s="10" t="str">
        <f aca="false">IF(WEEKDAY(A415,2)&gt;5,"Yes","No")</f>
        <v>No</v>
      </c>
      <c r="H415" s="10"/>
    </row>
    <row r="416" customFormat="false" ht="15" hidden="false" customHeight="true" outlineLevel="0" collapsed="false">
      <c r="A416" s="11" t="n">
        <v>45706</v>
      </c>
      <c r="B416" s="10" t="n">
        <f aca="false">YEAR(A416)</f>
        <v>2025</v>
      </c>
      <c r="C416" s="10" t="n">
        <f aca="false">MONTH(A416)</f>
        <v>2</v>
      </c>
      <c r="D416" s="10" t="str">
        <f aca="false">TEXT(A416,"mmm")</f>
        <v>Feb</v>
      </c>
      <c r="E416" s="10" t="str">
        <f aca="false">"Q"&amp;ROUNDUP(C416/3,0)</f>
        <v>Q1</v>
      </c>
      <c r="F416" s="10" t="str">
        <f aca="false">TEXT(A416,"ddd")</f>
        <v>Tue</v>
      </c>
      <c r="G416" s="10" t="str">
        <f aca="false">IF(WEEKDAY(A416,2)&gt;5,"Yes","No")</f>
        <v>No</v>
      </c>
      <c r="H416" s="10"/>
    </row>
    <row r="417" customFormat="false" ht="15" hidden="false" customHeight="true" outlineLevel="0" collapsed="false">
      <c r="A417" s="11" t="n">
        <v>45707</v>
      </c>
      <c r="B417" s="10" t="n">
        <f aca="false">YEAR(A417)</f>
        <v>2025</v>
      </c>
      <c r="C417" s="10" t="n">
        <f aca="false">MONTH(A417)</f>
        <v>2</v>
      </c>
      <c r="D417" s="10" t="str">
        <f aca="false">TEXT(A417,"mmm")</f>
        <v>Feb</v>
      </c>
      <c r="E417" s="10" t="str">
        <f aca="false">"Q"&amp;ROUNDUP(C417/3,0)</f>
        <v>Q1</v>
      </c>
      <c r="F417" s="10" t="str">
        <f aca="false">TEXT(A417,"ddd")</f>
        <v>Wed</v>
      </c>
      <c r="G417" s="10" t="str">
        <f aca="false">IF(WEEKDAY(A417,2)&gt;5,"Yes","No")</f>
        <v>No</v>
      </c>
      <c r="H417" s="10"/>
    </row>
    <row r="418" customFormat="false" ht="15" hidden="false" customHeight="true" outlineLevel="0" collapsed="false">
      <c r="A418" s="11" t="n">
        <v>45708</v>
      </c>
      <c r="B418" s="10" t="n">
        <f aca="false">YEAR(A418)</f>
        <v>2025</v>
      </c>
      <c r="C418" s="10" t="n">
        <f aca="false">MONTH(A418)</f>
        <v>2</v>
      </c>
      <c r="D418" s="10" t="str">
        <f aca="false">TEXT(A418,"mmm")</f>
        <v>Feb</v>
      </c>
      <c r="E418" s="10" t="str">
        <f aca="false">"Q"&amp;ROUNDUP(C418/3,0)</f>
        <v>Q1</v>
      </c>
      <c r="F418" s="10" t="str">
        <f aca="false">TEXT(A418,"ddd")</f>
        <v>Thu</v>
      </c>
      <c r="G418" s="10" t="str">
        <f aca="false">IF(WEEKDAY(A418,2)&gt;5,"Yes","No")</f>
        <v>No</v>
      </c>
      <c r="H418" s="10"/>
    </row>
    <row r="419" customFormat="false" ht="15" hidden="false" customHeight="true" outlineLevel="0" collapsed="false">
      <c r="A419" s="11" t="n">
        <v>45709</v>
      </c>
      <c r="B419" s="10" t="n">
        <f aca="false">YEAR(A419)</f>
        <v>2025</v>
      </c>
      <c r="C419" s="10" t="n">
        <f aca="false">MONTH(A419)</f>
        <v>2</v>
      </c>
      <c r="D419" s="10" t="str">
        <f aca="false">TEXT(A419,"mmm")</f>
        <v>Feb</v>
      </c>
      <c r="E419" s="10" t="str">
        <f aca="false">"Q"&amp;ROUNDUP(C419/3,0)</f>
        <v>Q1</v>
      </c>
      <c r="F419" s="10" t="str">
        <f aca="false">TEXT(A419,"ddd")</f>
        <v>Fri</v>
      </c>
      <c r="G419" s="10" t="str">
        <f aca="false">IF(WEEKDAY(A419,2)&gt;5,"Yes","No")</f>
        <v>No</v>
      </c>
      <c r="H419" s="10"/>
    </row>
    <row r="420" customFormat="false" ht="15" hidden="false" customHeight="true" outlineLevel="0" collapsed="false">
      <c r="A420" s="11" t="n">
        <v>45710</v>
      </c>
      <c r="B420" s="10" t="n">
        <f aca="false">YEAR(A420)</f>
        <v>2025</v>
      </c>
      <c r="C420" s="10" t="n">
        <f aca="false">MONTH(A420)</f>
        <v>2</v>
      </c>
      <c r="D420" s="10" t="str">
        <f aca="false">TEXT(A420,"mmm")</f>
        <v>Feb</v>
      </c>
      <c r="E420" s="10" t="str">
        <f aca="false">"Q"&amp;ROUNDUP(C420/3,0)</f>
        <v>Q1</v>
      </c>
      <c r="F420" s="10" t="str">
        <f aca="false">TEXT(A420,"ddd")</f>
        <v>Sat</v>
      </c>
      <c r="G420" s="10" t="str">
        <f aca="false">IF(WEEKDAY(A420,2)&gt;5,"Yes","No")</f>
        <v>Yes</v>
      </c>
      <c r="H420" s="10"/>
    </row>
    <row r="421" customFormat="false" ht="15" hidden="false" customHeight="true" outlineLevel="0" collapsed="false">
      <c r="A421" s="11" t="n">
        <v>45711</v>
      </c>
      <c r="B421" s="10" t="n">
        <f aca="false">YEAR(A421)</f>
        <v>2025</v>
      </c>
      <c r="C421" s="10" t="n">
        <f aca="false">MONTH(A421)</f>
        <v>2</v>
      </c>
      <c r="D421" s="10" t="str">
        <f aca="false">TEXT(A421,"mmm")</f>
        <v>Feb</v>
      </c>
      <c r="E421" s="10" t="str">
        <f aca="false">"Q"&amp;ROUNDUP(C421/3,0)</f>
        <v>Q1</v>
      </c>
      <c r="F421" s="10" t="str">
        <f aca="false">TEXT(A421,"ddd")</f>
        <v>Sun</v>
      </c>
      <c r="G421" s="10" t="str">
        <f aca="false">IF(WEEKDAY(A421,2)&gt;5,"Yes","No")</f>
        <v>Yes</v>
      </c>
      <c r="H421" s="10"/>
    </row>
    <row r="422" customFormat="false" ht="15" hidden="false" customHeight="true" outlineLevel="0" collapsed="false">
      <c r="A422" s="11" t="n">
        <v>45712</v>
      </c>
      <c r="B422" s="10" t="n">
        <f aca="false">YEAR(A422)</f>
        <v>2025</v>
      </c>
      <c r="C422" s="10" t="n">
        <f aca="false">MONTH(A422)</f>
        <v>2</v>
      </c>
      <c r="D422" s="10" t="str">
        <f aca="false">TEXT(A422,"mmm")</f>
        <v>Feb</v>
      </c>
      <c r="E422" s="10" t="str">
        <f aca="false">"Q"&amp;ROUNDUP(C422/3,0)</f>
        <v>Q1</v>
      </c>
      <c r="F422" s="10" t="str">
        <f aca="false">TEXT(A422,"ddd")</f>
        <v>Mon</v>
      </c>
      <c r="G422" s="10" t="str">
        <f aca="false">IF(WEEKDAY(A422,2)&gt;5,"Yes","No")</f>
        <v>No</v>
      </c>
      <c r="H422" s="10"/>
    </row>
    <row r="423" customFormat="false" ht="15" hidden="false" customHeight="true" outlineLevel="0" collapsed="false">
      <c r="A423" s="11" t="n">
        <v>45713</v>
      </c>
      <c r="B423" s="10" t="n">
        <f aca="false">YEAR(A423)</f>
        <v>2025</v>
      </c>
      <c r="C423" s="10" t="n">
        <f aca="false">MONTH(A423)</f>
        <v>2</v>
      </c>
      <c r="D423" s="10" t="str">
        <f aca="false">TEXT(A423,"mmm")</f>
        <v>Feb</v>
      </c>
      <c r="E423" s="10" t="str">
        <f aca="false">"Q"&amp;ROUNDUP(C423/3,0)</f>
        <v>Q1</v>
      </c>
      <c r="F423" s="10" t="str">
        <f aca="false">TEXT(A423,"ddd")</f>
        <v>Tue</v>
      </c>
      <c r="G423" s="10" t="str">
        <f aca="false">IF(WEEKDAY(A423,2)&gt;5,"Yes","No")</f>
        <v>No</v>
      </c>
      <c r="H423" s="10"/>
    </row>
    <row r="424" customFormat="false" ht="15" hidden="false" customHeight="true" outlineLevel="0" collapsed="false">
      <c r="A424" s="11" t="n">
        <v>45714</v>
      </c>
      <c r="B424" s="10" t="n">
        <f aca="false">YEAR(A424)</f>
        <v>2025</v>
      </c>
      <c r="C424" s="10" t="n">
        <f aca="false">MONTH(A424)</f>
        <v>2</v>
      </c>
      <c r="D424" s="10" t="str">
        <f aca="false">TEXT(A424,"mmm")</f>
        <v>Feb</v>
      </c>
      <c r="E424" s="10" t="str">
        <f aca="false">"Q"&amp;ROUNDUP(C424/3,0)</f>
        <v>Q1</v>
      </c>
      <c r="F424" s="10" t="str">
        <f aca="false">TEXT(A424,"ddd")</f>
        <v>Wed</v>
      </c>
      <c r="G424" s="10" t="str">
        <f aca="false">IF(WEEKDAY(A424,2)&gt;5,"Yes","No")</f>
        <v>No</v>
      </c>
      <c r="H424" s="10"/>
    </row>
    <row r="425" customFormat="false" ht="15" hidden="false" customHeight="true" outlineLevel="0" collapsed="false">
      <c r="A425" s="11" t="n">
        <v>45715</v>
      </c>
      <c r="B425" s="10" t="n">
        <f aca="false">YEAR(A425)</f>
        <v>2025</v>
      </c>
      <c r="C425" s="10" t="n">
        <f aca="false">MONTH(A425)</f>
        <v>2</v>
      </c>
      <c r="D425" s="10" t="str">
        <f aca="false">TEXT(A425,"mmm")</f>
        <v>Feb</v>
      </c>
      <c r="E425" s="10" t="str">
        <f aca="false">"Q"&amp;ROUNDUP(C425/3,0)</f>
        <v>Q1</v>
      </c>
      <c r="F425" s="10" t="str">
        <f aca="false">TEXT(A425,"ddd")</f>
        <v>Thu</v>
      </c>
      <c r="G425" s="10" t="str">
        <f aca="false">IF(WEEKDAY(A425,2)&gt;5,"Yes","No")</f>
        <v>No</v>
      </c>
      <c r="H425" s="10"/>
    </row>
    <row r="426" customFormat="false" ht="15" hidden="false" customHeight="true" outlineLevel="0" collapsed="false">
      <c r="A426" s="11" t="n">
        <v>45716</v>
      </c>
      <c r="B426" s="10" t="n">
        <f aca="false">YEAR(A426)</f>
        <v>2025</v>
      </c>
      <c r="C426" s="10" t="n">
        <f aca="false">MONTH(A426)</f>
        <v>2</v>
      </c>
      <c r="D426" s="10" t="str">
        <f aca="false">TEXT(A426,"mmm")</f>
        <v>Feb</v>
      </c>
      <c r="E426" s="10" t="str">
        <f aca="false">"Q"&amp;ROUNDUP(C426/3,0)</f>
        <v>Q1</v>
      </c>
      <c r="F426" s="10" t="str">
        <f aca="false">TEXT(A426,"ddd")</f>
        <v>Fri</v>
      </c>
      <c r="G426" s="10" t="str">
        <f aca="false">IF(WEEKDAY(A426,2)&gt;5,"Yes","No")</f>
        <v>No</v>
      </c>
      <c r="H426" s="10"/>
    </row>
    <row r="427" customFormat="false" ht="15" hidden="false" customHeight="true" outlineLevel="0" collapsed="false">
      <c r="A427" s="11" t="n">
        <v>45717</v>
      </c>
      <c r="B427" s="10" t="n">
        <f aca="false">YEAR(A427)</f>
        <v>2025</v>
      </c>
      <c r="C427" s="10" t="n">
        <f aca="false">MONTH(A427)</f>
        <v>3</v>
      </c>
      <c r="D427" s="10" t="str">
        <f aca="false">TEXT(A427,"mmm")</f>
        <v>Mar</v>
      </c>
      <c r="E427" s="10" t="str">
        <f aca="false">"Q"&amp;ROUNDUP(C427/3,0)</f>
        <v>Q1</v>
      </c>
      <c r="F427" s="10" t="str">
        <f aca="false">TEXT(A427,"ddd")</f>
        <v>Sat</v>
      </c>
      <c r="G427" s="10" t="str">
        <f aca="false">IF(WEEKDAY(A427,2)&gt;5,"Yes","No")</f>
        <v>Yes</v>
      </c>
      <c r="H427" s="10"/>
    </row>
    <row r="428" customFormat="false" ht="15" hidden="false" customHeight="true" outlineLevel="0" collapsed="false">
      <c r="A428" s="11" t="n">
        <v>45718</v>
      </c>
      <c r="B428" s="10" t="n">
        <f aca="false">YEAR(A428)</f>
        <v>2025</v>
      </c>
      <c r="C428" s="10" t="n">
        <f aca="false">MONTH(A428)</f>
        <v>3</v>
      </c>
      <c r="D428" s="10" t="str">
        <f aca="false">TEXT(A428,"mmm")</f>
        <v>Mar</v>
      </c>
      <c r="E428" s="10" t="str">
        <f aca="false">"Q"&amp;ROUNDUP(C428/3,0)</f>
        <v>Q1</v>
      </c>
      <c r="F428" s="10" t="str">
        <f aca="false">TEXT(A428,"ddd")</f>
        <v>Sun</v>
      </c>
      <c r="G428" s="10" t="str">
        <f aca="false">IF(WEEKDAY(A428,2)&gt;5,"Yes","No")</f>
        <v>Yes</v>
      </c>
      <c r="H428" s="10"/>
    </row>
    <row r="429" customFormat="false" ht="15" hidden="false" customHeight="true" outlineLevel="0" collapsed="false">
      <c r="A429" s="11" t="n">
        <v>45719</v>
      </c>
      <c r="B429" s="10" t="n">
        <f aca="false">YEAR(A429)</f>
        <v>2025</v>
      </c>
      <c r="C429" s="10" t="n">
        <f aca="false">MONTH(A429)</f>
        <v>3</v>
      </c>
      <c r="D429" s="10" t="str">
        <f aca="false">TEXT(A429,"mmm")</f>
        <v>Mar</v>
      </c>
      <c r="E429" s="10" t="str">
        <f aca="false">"Q"&amp;ROUNDUP(C429/3,0)</f>
        <v>Q1</v>
      </c>
      <c r="F429" s="10" t="str">
        <f aca="false">TEXT(A429,"ddd")</f>
        <v>Mon</v>
      </c>
      <c r="G429" s="10" t="str">
        <f aca="false">IF(WEEKDAY(A429,2)&gt;5,"Yes","No")</f>
        <v>No</v>
      </c>
      <c r="H429" s="10"/>
    </row>
    <row r="430" customFormat="false" ht="15" hidden="false" customHeight="true" outlineLevel="0" collapsed="false">
      <c r="A430" s="11" t="n">
        <v>45720</v>
      </c>
      <c r="B430" s="10" t="n">
        <f aca="false">YEAR(A430)</f>
        <v>2025</v>
      </c>
      <c r="C430" s="10" t="n">
        <f aca="false">MONTH(A430)</f>
        <v>3</v>
      </c>
      <c r="D430" s="10" t="str">
        <f aca="false">TEXT(A430,"mmm")</f>
        <v>Mar</v>
      </c>
      <c r="E430" s="10" t="str">
        <f aca="false">"Q"&amp;ROUNDUP(C430/3,0)</f>
        <v>Q1</v>
      </c>
      <c r="F430" s="10" t="str">
        <f aca="false">TEXT(A430,"ddd")</f>
        <v>Tue</v>
      </c>
      <c r="G430" s="10" t="str">
        <f aca="false">IF(WEEKDAY(A430,2)&gt;5,"Yes","No")</f>
        <v>No</v>
      </c>
      <c r="H430" s="10"/>
    </row>
    <row r="431" customFormat="false" ht="15" hidden="false" customHeight="true" outlineLevel="0" collapsed="false">
      <c r="A431" s="11" t="n">
        <v>45721</v>
      </c>
      <c r="B431" s="10" t="n">
        <f aca="false">YEAR(A431)</f>
        <v>2025</v>
      </c>
      <c r="C431" s="10" t="n">
        <f aca="false">MONTH(A431)</f>
        <v>3</v>
      </c>
      <c r="D431" s="10" t="str">
        <f aca="false">TEXT(A431,"mmm")</f>
        <v>Mar</v>
      </c>
      <c r="E431" s="10" t="str">
        <f aca="false">"Q"&amp;ROUNDUP(C431/3,0)</f>
        <v>Q1</v>
      </c>
      <c r="F431" s="10" t="str">
        <f aca="false">TEXT(A431,"ddd")</f>
        <v>Wed</v>
      </c>
      <c r="G431" s="10" t="str">
        <f aca="false">IF(WEEKDAY(A431,2)&gt;5,"Yes","No")</f>
        <v>No</v>
      </c>
      <c r="H431" s="10"/>
    </row>
    <row r="432" customFormat="false" ht="15" hidden="false" customHeight="true" outlineLevel="0" collapsed="false">
      <c r="A432" s="11" t="n">
        <v>45722</v>
      </c>
      <c r="B432" s="10" t="n">
        <f aca="false">YEAR(A432)</f>
        <v>2025</v>
      </c>
      <c r="C432" s="10" t="n">
        <f aca="false">MONTH(A432)</f>
        <v>3</v>
      </c>
      <c r="D432" s="10" t="str">
        <f aca="false">TEXT(A432,"mmm")</f>
        <v>Mar</v>
      </c>
      <c r="E432" s="10" t="str">
        <f aca="false">"Q"&amp;ROUNDUP(C432/3,0)</f>
        <v>Q1</v>
      </c>
      <c r="F432" s="10" t="str">
        <f aca="false">TEXT(A432,"ddd")</f>
        <v>Thu</v>
      </c>
      <c r="G432" s="10" t="str">
        <f aca="false">IF(WEEKDAY(A432,2)&gt;5,"Yes","No")</f>
        <v>No</v>
      </c>
      <c r="H432" s="10"/>
    </row>
    <row r="433" customFormat="false" ht="15" hidden="false" customHeight="true" outlineLevel="0" collapsed="false">
      <c r="A433" s="11" t="n">
        <v>45723</v>
      </c>
      <c r="B433" s="10" t="n">
        <f aca="false">YEAR(A433)</f>
        <v>2025</v>
      </c>
      <c r="C433" s="10" t="n">
        <f aca="false">MONTH(A433)</f>
        <v>3</v>
      </c>
      <c r="D433" s="10" t="str">
        <f aca="false">TEXT(A433,"mmm")</f>
        <v>Mar</v>
      </c>
      <c r="E433" s="10" t="str">
        <f aca="false">"Q"&amp;ROUNDUP(C433/3,0)</f>
        <v>Q1</v>
      </c>
      <c r="F433" s="10" t="str">
        <f aca="false">TEXT(A433,"ddd")</f>
        <v>Fri</v>
      </c>
      <c r="G433" s="10" t="str">
        <f aca="false">IF(WEEKDAY(A433,2)&gt;5,"Yes","No")</f>
        <v>No</v>
      </c>
      <c r="H433" s="10"/>
    </row>
    <row r="434" customFormat="false" ht="15" hidden="false" customHeight="true" outlineLevel="0" collapsed="false">
      <c r="A434" s="11" t="n">
        <v>45724</v>
      </c>
      <c r="B434" s="10" t="n">
        <f aca="false">YEAR(A434)</f>
        <v>2025</v>
      </c>
      <c r="C434" s="10" t="n">
        <f aca="false">MONTH(A434)</f>
        <v>3</v>
      </c>
      <c r="D434" s="10" t="str">
        <f aca="false">TEXT(A434,"mmm")</f>
        <v>Mar</v>
      </c>
      <c r="E434" s="10" t="str">
        <f aca="false">"Q"&amp;ROUNDUP(C434/3,0)</f>
        <v>Q1</v>
      </c>
      <c r="F434" s="10" t="str">
        <f aca="false">TEXT(A434,"ddd")</f>
        <v>Sat</v>
      </c>
      <c r="G434" s="10" t="str">
        <f aca="false">IF(WEEKDAY(A434,2)&gt;5,"Yes","No")</f>
        <v>Yes</v>
      </c>
      <c r="H434" s="10"/>
    </row>
    <row r="435" customFormat="false" ht="15" hidden="false" customHeight="true" outlineLevel="0" collapsed="false">
      <c r="A435" s="11" t="n">
        <v>45725</v>
      </c>
      <c r="B435" s="10" t="n">
        <f aca="false">YEAR(A435)</f>
        <v>2025</v>
      </c>
      <c r="C435" s="10" t="n">
        <f aca="false">MONTH(A435)</f>
        <v>3</v>
      </c>
      <c r="D435" s="10" t="str">
        <f aca="false">TEXT(A435,"mmm")</f>
        <v>Mar</v>
      </c>
      <c r="E435" s="10" t="str">
        <f aca="false">"Q"&amp;ROUNDUP(C435/3,0)</f>
        <v>Q1</v>
      </c>
      <c r="F435" s="10" t="str">
        <f aca="false">TEXT(A435,"ddd")</f>
        <v>Sun</v>
      </c>
      <c r="G435" s="10" t="str">
        <f aca="false">IF(WEEKDAY(A435,2)&gt;5,"Yes","No")</f>
        <v>Yes</v>
      </c>
      <c r="H435" s="10"/>
    </row>
    <row r="436" customFormat="false" ht="15" hidden="false" customHeight="true" outlineLevel="0" collapsed="false">
      <c r="A436" s="11" t="n">
        <v>45726</v>
      </c>
      <c r="B436" s="10" t="n">
        <f aca="false">YEAR(A436)</f>
        <v>2025</v>
      </c>
      <c r="C436" s="10" t="n">
        <f aca="false">MONTH(A436)</f>
        <v>3</v>
      </c>
      <c r="D436" s="10" t="str">
        <f aca="false">TEXT(A436,"mmm")</f>
        <v>Mar</v>
      </c>
      <c r="E436" s="10" t="str">
        <f aca="false">"Q"&amp;ROUNDUP(C436/3,0)</f>
        <v>Q1</v>
      </c>
      <c r="F436" s="10" t="str">
        <f aca="false">TEXT(A436,"ddd")</f>
        <v>Mon</v>
      </c>
      <c r="G436" s="10" t="str">
        <f aca="false">IF(WEEKDAY(A436,2)&gt;5,"Yes","No")</f>
        <v>No</v>
      </c>
      <c r="H436" s="10"/>
    </row>
    <row r="437" customFormat="false" ht="15" hidden="false" customHeight="true" outlineLevel="0" collapsed="false">
      <c r="A437" s="11" t="n">
        <v>45727</v>
      </c>
      <c r="B437" s="10" t="n">
        <f aca="false">YEAR(A437)</f>
        <v>2025</v>
      </c>
      <c r="C437" s="10" t="n">
        <f aca="false">MONTH(A437)</f>
        <v>3</v>
      </c>
      <c r="D437" s="10" t="str">
        <f aca="false">TEXT(A437,"mmm")</f>
        <v>Mar</v>
      </c>
      <c r="E437" s="10" t="str">
        <f aca="false">"Q"&amp;ROUNDUP(C437/3,0)</f>
        <v>Q1</v>
      </c>
      <c r="F437" s="10" t="str">
        <f aca="false">TEXT(A437,"ddd")</f>
        <v>Tue</v>
      </c>
      <c r="G437" s="10" t="str">
        <f aca="false">IF(WEEKDAY(A437,2)&gt;5,"Yes","No")</f>
        <v>No</v>
      </c>
      <c r="H437" s="10"/>
    </row>
    <row r="438" customFormat="false" ht="15" hidden="false" customHeight="true" outlineLevel="0" collapsed="false">
      <c r="A438" s="11" t="n">
        <v>45728</v>
      </c>
      <c r="B438" s="10" t="n">
        <f aca="false">YEAR(A438)</f>
        <v>2025</v>
      </c>
      <c r="C438" s="10" t="n">
        <f aca="false">MONTH(A438)</f>
        <v>3</v>
      </c>
      <c r="D438" s="10" t="str">
        <f aca="false">TEXT(A438,"mmm")</f>
        <v>Mar</v>
      </c>
      <c r="E438" s="10" t="str">
        <f aca="false">"Q"&amp;ROUNDUP(C438/3,0)</f>
        <v>Q1</v>
      </c>
      <c r="F438" s="10" t="str">
        <f aca="false">TEXT(A438,"ddd")</f>
        <v>Wed</v>
      </c>
      <c r="G438" s="10" t="str">
        <f aca="false">IF(WEEKDAY(A438,2)&gt;5,"Yes","No")</f>
        <v>No</v>
      </c>
      <c r="H438" s="10"/>
    </row>
    <row r="439" customFormat="false" ht="15" hidden="false" customHeight="true" outlineLevel="0" collapsed="false">
      <c r="A439" s="11" t="n">
        <v>45729</v>
      </c>
      <c r="B439" s="10" t="n">
        <f aca="false">YEAR(A439)</f>
        <v>2025</v>
      </c>
      <c r="C439" s="10" t="n">
        <f aca="false">MONTH(A439)</f>
        <v>3</v>
      </c>
      <c r="D439" s="10" t="str">
        <f aca="false">TEXT(A439,"mmm")</f>
        <v>Mar</v>
      </c>
      <c r="E439" s="10" t="str">
        <f aca="false">"Q"&amp;ROUNDUP(C439/3,0)</f>
        <v>Q1</v>
      </c>
      <c r="F439" s="10" t="str">
        <f aca="false">TEXT(A439,"ddd")</f>
        <v>Thu</v>
      </c>
      <c r="G439" s="10" t="str">
        <f aca="false">IF(WEEKDAY(A439,2)&gt;5,"Yes","No")</f>
        <v>No</v>
      </c>
      <c r="H439" s="10"/>
    </row>
    <row r="440" customFormat="false" ht="15" hidden="false" customHeight="true" outlineLevel="0" collapsed="false">
      <c r="A440" s="11" t="n">
        <v>45730</v>
      </c>
      <c r="B440" s="10" t="n">
        <f aca="false">YEAR(A440)</f>
        <v>2025</v>
      </c>
      <c r="C440" s="10" t="n">
        <f aca="false">MONTH(A440)</f>
        <v>3</v>
      </c>
      <c r="D440" s="10" t="str">
        <f aca="false">TEXT(A440,"mmm")</f>
        <v>Mar</v>
      </c>
      <c r="E440" s="10" t="str">
        <f aca="false">"Q"&amp;ROUNDUP(C440/3,0)</f>
        <v>Q1</v>
      </c>
      <c r="F440" s="10" t="str">
        <f aca="false">TEXT(A440,"ddd")</f>
        <v>Fri</v>
      </c>
      <c r="G440" s="10" t="str">
        <f aca="false">IF(WEEKDAY(A440,2)&gt;5,"Yes","No")</f>
        <v>No</v>
      </c>
      <c r="H440" s="10"/>
    </row>
    <row r="441" customFormat="false" ht="15" hidden="false" customHeight="true" outlineLevel="0" collapsed="false">
      <c r="A441" s="11" t="n">
        <v>45731</v>
      </c>
      <c r="B441" s="10" t="n">
        <f aca="false">YEAR(A441)</f>
        <v>2025</v>
      </c>
      <c r="C441" s="10" t="n">
        <f aca="false">MONTH(A441)</f>
        <v>3</v>
      </c>
      <c r="D441" s="10" t="str">
        <f aca="false">TEXT(A441,"mmm")</f>
        <v>Mar</v>
      </c>
      <c r="E441" s="10" t="str">
        <f aca="false">"Q"&amp;ROUNDUP(C441/3,0)</f>
        <v>Q1</v>
      </c>
      <c r="F441" s="10" t="str">
        <f aca="false">TEXT(A441,"ddd")</f>
        <v>Sat</v>
      </c>
      <c r="G441" s="10" t="str">
        <f aca="false">IF(WEEKDAY(A441,2)&gt;5,"Yes","No")</f>
        <v>Yes</v>
      </c>
      <c r="H441" s="10"/>
    </row>
    <row r="442" customFormat="false" ht="15" hidden="false" customHeight="true" outlineLevel="0" collapsed="false">
      <c r="A442" s="11" t="n">
        <v>45732</v>
      </c>
      <c r="B442" s="10" t="n">
        <f aca="false">YEAR(A442)</f>
        <v>2025</v>
      </c>
      <c r="C442" s="10" t="n">
        <f aca="false">MONTH(A442)</f>
        <v>3</v>
      </c>
      <c r="D442" s="10" t="str">
        <f aca="false">TEXT(A442,"mmm")</f>
        <v>Mar</v>
      </c>
      <c r="E442" s="10" t="str">
        <f aca="false">"Q"&amp;ROUNDUP(C442/3,0)</f>
        <v>Q1</v>
      </c>
      <c r="F442" s="10" t="str">
        <f aca="false">TEXT(A442,"ddd")</f>
        <v>Sun</v>
      </c>
      <c r="G442" s="10" t="str">
        <f aca="false">IF(WEEKDAY(A442,2)&gt;5,"Yes","No")</f>
        <v>Yes</v>
      </c>
      <c r="H442" s="10"/>
    </row>
    <row r="443" customFormat="false" ht="15" hidden="false" customHeight="true" outlineLevel="0" collapsed="false">
      <c r="A443" s="11" t="n">
        <v>45733</v>
      </c>
      <c r="B443" s="10" t="n">
        <f aca="false">YEAR(A443)</f>
        <v>2025</v>
      </c>
      <c r="C443" s="10" t="n">
        <f aca="false">MONTH(A443)</f>
        <v>3</v>
      </c>
      <c r="D443" s="10" t="str">
        <f aca="false">TEXT(A443,"mmm")</f>
        <v>Mar</v>
      </c>
      <c r="E443" s="10" t="str">
        <f aca="false">"Q"&amp;ROUNDUP(C443/3,0)</f>
        <v>Q1</v>
      </c>
      <c r="F443" s="10" t="str">
        <f aca="false">TEXT(A443,"ddd")</f>
        <v>Mon</v>
      </c>
      <c r="G443" s="10" t="str">
        <f aca="false">IF(WEEKDAY(A443,2)&gt;5,"Yes","No")</f>
        <v>No</v>
      </c>
      <c r="H443" s="10"/>
    </row>
    <row r="444" customFormat="false" ht="15" hidden="false" customHeight="true" outlineLevel="0" collapsed="false">
      <c r="A444" s="11" t="n">
        <v>45734</v>
      </c>
      <c r="B444" s="10" t="n">
        <f aca="false">YEAR(A444)</f>
        <v>2025</v>
      </c>
      <c r="C444" s="10" t="n">
        <f aca="false">MONTH(A444)</f>
        <v>3</v>
      </c>
      <c r="D444" s="10" t="str">
        <f aca="false">TEXT(A444,"mmm")</f>
        <v>Mar</v>
      </c>
      <c r="E444" s="10" t="str">
        <f aca="false">"Q"&amp;ROUNDUP(C444/3,0)</f>
        <v>Q1</v>
      </c>
      <c r="F444" s="10" t="str">
        <f aca="false">TEXT(A444,"ddd")</f>
        <v>Tue</v>
      </c>
      <c r="G444" s="10" t="str">
        <f aca="false">IF(WEEKDAY(A444,2)&gt;5,"Yes","No")</f>
        <v>No</v>
      </c>
      <c r="H444" s="10"/>
    </row>
    <row r="445" customFormat="false" ht="15" hidden="false" customHeight="true" outlineLevel="0" collapsed="false">
      <c r="A445" s="11" t="n">
        <v>45735</v>
      </c>
      <c r="B445" s="10" t="n">
        <f aca="false">YEAR(A445)</f>
        <v>2025</v>
      </c>
      <c r="C445" s="10" t="n">
        <f aca="false">MONTH(A445)</f>
        <v>3</v>
      </c>
      <c r="D445" s="10" t="str">
        <f aca="false">TEXT(A445,"mmm")</f>
        <v>Mar</v>
      </c>
      <c r="E445" s="10" t="str">
        <f aca="false">"Q"&amp;ROUNDUP(C445/3,0)</f>
        <v>Q1</v>
      </c>
      <c r="F445" s="10" t="str">
        <f aca="false">TEXT(A445,"ddd")</f>
        <v>Wed</v>
      </c>
      <c r="G445" s="10" t="str">
        <f aca="false">IF(WEEKDAY(A445,2)&gt;5,"Yes","No")</f>
        <v>No</v>
      </c>
      <c r="H445" s="10"/>
    </row>
    <row r="446" customFormat="false" ht="15" hidden="false" customHeight="true" outlineLevel="0" collapsed="false">
      <c r="A446" s="11" t="n">
        <v>45736</v>
      </c>
      <c r="B446" s="10" t="n">
        <f aca="false">YEAR(A446)</f>
        <v>2025</v>
      </c>
      <c r="C446" s="10" t="n">
        <f aca="false">MONTH(A446)</f>
        <v>3</v>
      </c>
      <c r="D446" s="10" t="str">
        <f aca="false">TEXT(A446,"mmm")</f>
        <v>Mar</v>
      </c>
      <c r="E446" s="10" t="str">
        <f aca="false">"Q"&amp;ROUNDUP(C446/3,0)</f>
        <v>Q1</v>
      </c>
      <c r="F446" s="10" t="str">
        <f aca="false">TEXT(A446,"ddd")</f>
        <v>Thu</v>
      </c>
      <c r="G446" s="10" t="str">
        <f aca="false">IF(WEEKDAY(A446,2)&gt;5,"Yes","No")</f>
        <v>No</v>
      </c>
      <c r="H446" s="10"/>
    </row>
    <row r="447" customFormat="false" ht="15" hidden="false" customHeight="true" outlineLevel="0" collapsed="false">
      <c r="A447" s="11" t="n">
        <v>45737</v>
      </c>
      <c r="B447" s="10" t="n">
        <f aca="false">YEAR(A447)</f>
        <v>2025</v>
      </c>
      <c r="C447" s="10" t="n">
        <f aca="false">MONTH(A447)</f>
        <v>3</v>
      </c>
      <c r="D447" s="10" t="str">
        <f aca="false">TEXT(A447,"mmm")</f>
        <v>Mar</v>
      </c>
      <c r="E447" s="10" t="str">
        <f aca="false">"Q"&amp;ROUNDUP(C447/3,0)</f>
        <v>Q1</v>
      </c>
      <c r="F447" s="10" t="str">
        <f aca="false">TEXT(A447,"ddd")</f>
        <v>Fri</v>
      </c>
      <c r="G447" s="10" t="str">
        <f aca="false">IF(WEEKDAY(A447,2)&gt;5,"Yes","No")</f>
        <v>No</v>
      </c>
      <c r="H447" s="10" t="s">
        <v>992</v>
      </c>
    </row>
    <row r="448" customFormat="false" ht="15" hidden="false" customHeight="true" outlineLevel="0" collapsed="false">
      <c r="A448" s="11" t="n">
        <v>45738</v>
      </c>
      <c r="B448" s="10" t="n">
        <f aca="false">YEAR(A448)</f>
        <v>2025</v>
      </c>
      <c r="C448" s="10" t="n">
        <f aca="false">MONTH(A448)</f>
        <v>3</v>
      </c>
      <c r="D448" s="10" t="str">
        <f aca="false">TEXT(A448,"mmm")</f>
        <v>Mar</v>
      </c>
      <c r="E448" s="10" t="str">
        <f aca="false">"Q"&amp;ROUNDUP(C448/3,0)</f>
        <v>Q1</v>
      </c>
      <c r="F448" s="10" t="str">
        <f aca="false">TEXT(A448,"ddd")</f>
        <v>Sat</v>
      </c>
      <c r="G448" s="10" t="str">
        <f aca="false">IF(WEEKDAY(A448,2)&gt;5,"Yes","No")</f>
        <v>Yes</v>
      </c>
      <c r="H448" s="10"/>
    </row>
    <row r="449" customFormat="false" ht="15" hidden="false" customHeight="true" outlineLevel="0" collapsed="false">
      <c r="A449" s="11" t="n">
        <v>45739</v>
      </c>
      <c r="B449" s="10" t="n">
        <f aca="false">YEAR(A449)</f>
        <v>2025</v>
      </c>
      <c r="C449" s="10" t="n">
        <f aca="false">MONTH(A449)</f>
        <v>3</v>
      </c>
      <c r="D449" s="10" t="str">
        <f aca="false">TEXT(A449,"mmm")</f>
        <v>Mar</v>
      </c>
      <c r="E449" s="10" t="str">
        <f aca="false">"Q"&amp;ROUNDUP(C449/3,0)</f>
        <v>Q1</v>
      </c>
      <c r="F449" s="10" t="str">
        <f aca="false">TEXT(A449,"ddd")</f>
        <v>Sun</v>
      </c>
      <c r="G449" s="10" t="str">
        <f aca="false">IF(WEEKDAY(A449,2)&gt;5,"Yes","No")</f>
        <v>Yes</v>
      </c>
      <c r="H449" s="10"/>
    </row>
    <row r="450" customFormat="false" ht="15" hidden="false" customHeight="true" outlineLevel="0" collapsed="false">
      <c r="A450" s="11" t="n">
        <v>45740</v>
      </c>
      <c r="B450" s="10" t="n">
        <f aca="false">YEAR(A450)</f>
        <v>2025</v>
      </c>
      <c r="C450" s="10" t="n">
        <f aca="false">MONTH(A450)</f>
        <v>3</v>
      </c>
      <c r="D450" s="10" t="str">
        <f aca="false">TEXT(A450,"mmm")</f>
        <v>Mar</v>
      </c>
      <c r="E450" s="10" t="str">
        <f aca="false">"Q"&amp;ROUNDUP(C450/3,0)</f>
        <v>Q1</v>
      </c>
      <c r="F450" s="10" t="str">
        <f aca="false">TEXT(A450,"ddd")</f>
        <v>Mon</v>
      </c>
      <c r="G450" s="10" t="str">
        <f aca="false">IF(WEEKDAY(A450,2)&gt;5,"Yes","No")</f>
        <v>No</v>
      </c>
      <c r="H450" s="10"/>
    </row>
    <row r="451" customFormat="false" ht="15" hidden="false" customHeight="true" outlineLevel="0" collapsed="false">
      <c r="A451" s="11" t="n">
        <v>45741</v>
      </c>
      <c r="B451" s="10" t="n">
        <f aca="false">YEAR(A451)</f>
        <v>2025</v>
      </c>
      <c r="C451" s="10" t="n">
        <f aca="false">MONTH(A451)</f>
        <v>3</v>
      </c>
      <c r="D451" s="10" t="str">
        <f aca="false">TEXT(A451,"mmm")</f>
        <v>Mar</v>
      </c>
      <c r="E451" s="10" t="str">
        <f aca="false">"Q"&amp;ROUNDUP(C451/3,0)</f>
        <v>Q1</v>
      </c>
      <c r="F451" s="10" t="str">
        <f aca="false">TEXT(A451,"ddd")</f>
        <v>Tue</v>
      </c>
      <c r="G451" s="10" t="str">
        <f aca="false">IF(WEEKDAY(A451,2)&gt;5,"Yes","No")</f>
        <v>No</v>
      </c>
      <c r="H451" s="10"/>
    </row>
    <row r="452" customFormat="false" ht="15" hidden="false" customHeight="true" outlineLevel="0" collapsed="false">
      <c r="A452" s="11" t="n">
        <v>45742</v>
      </c>
      <c r="B452" s="10" t="n">
        <f aca="false">YEAR(A452)</f>
        <v>2025</v>
      </c>
      <c r="C452" s="10" t="n">
        <f aca="false">MONTH(A452)</f>
        <v>3</v>
      </c>
      <c r="D452" s="10" t="str">
        <f aca="false">TEXT(A452,"mmm")</f>
        <v>Mar</v>
      </c>
      <c r="E452" s="10" t="str">
        <f aca="false">"Q"&amp;ROUNDUP(C452/3,0)</f>
        <v>Q1</v>
      </c>
      <c r="F452" s="10" t="str">
        <f aca="false">TEXT(A452,"ddd")</f>
        <v>Wed</v>
      </c>
      <c r="G452" s="10" t="str">
        <f aca="false">IF(WEEKDAY(A452,2)&gt;5,"Yes","No")</f>
        <v>No</v>
      </c>
      <c r="H452" s="10"/>
    </row>
    <row r="453" customFormat="false" ht="15" hidden="false" customHeight="true" outlineLevel="0" collapsed="false">
      <c r="A453" s="11" t="n">
        <v>45743</v>
      </c>
      <c r="B453" s="10" t="n">
        <f aca="false">YEAR(A453)</f>
        <v>2025</v>
      </c>
      <c r="C453" s="10" t="n">
        <f aca="false">MONTH(A453)</f>
        <v>3</v>
      </c>
      <c r="D453" s="10" t="str">
        <f aca="false">TEXT(A453,"mmm")</f>
        <v>Mar</v>
      </c>
      <c r="E453" s="10" t="str">
        <f aca="false">"Q"&amp;ROUNDUP(C453/3,0)</f>
        <v>Q1</v>
      </c>
      <c r="F453" s="10" t="str">
        <f aca="false">TEXT(A453,"ddd")</f>
        <v>Thu</v>
      </c>
      <c r="G453" s="10" t="str">
        <f aca="false">IF(WEEKDAY(A453,2)&gt;5,"Yes","No")</f>
        <v>No</v>
      </c>
      <c r="H453" s="10"/>
    </row>
    <row r="454" customFormat="false" ht="15" hidden="false" customHeight="true" outlineLevel="0" collapsed="false">
      <c r="A454" s="11" t="n">
        <v>45744</v>
      </c>
      <c r="B454" s="10" t="n">
        <f aca="false">YEAR(A454)</f>
        <v>2025</v>
      </c>
      <c r="C454" s="10" t="n">
        <f aca="false">MONTH(A454)</f>
        <v>3</v>
      </c>
      <c r="D454" s="10" t="str">
        <f aca="false">TEXT(A454,"mmm")</f>
        <v>Mar</v>
      </c>
      <c r="E454" s="10" t="str">
        <f aca="false">"Q"&amp;ROUNDUP(C454/3,0)</f>
        <v>Q1</v>
      </c>
      <c r="F454" s="10" t="str">
        <f aca="false">TEXT(A454,"ddd")</f>
        <v>Fri</v>
      </c>
      <c r="G454" s="10" t="str">
        <f aca="false">IF(WEEKDAY(A454,2)&gt;5,"Yes","No")</f>
        <v>No</v>
      </c>
      <c r="H454" s="10"/>
    </row>
    <row r="455" customFormat="false" ht="15" hidden="false" customHeight="true" outlineLevel="0" collapsed="false">
      <c r="A455" s="11" t="n">
        <v>45745</v>
      </c>
      <c r="B455" s="10" t="n">
        <f aca="false">YEAR(A455)</f>
        <v>2025</v>
      </c>
      <c r="C455" s="10" t="n">
        <f aca="false">MONTH(A455)</f>
        <v>3</v>
      </c>
      <c r="D455" s="10" t="str">
        <f aca="false">TEXT(A455,"mmm")</f>
        <v>Mar</v>
      </c>
      <c r="E455" s="10" t="str">
        <f aca="false">"Q"&amp;ROUNDUP(C455/3,0)</f>
        <v>Q1</v>
      </c>
      <c r="F455" s="10" t="str">
        <f aca="false">TEXT(A455,"ddd")</f>
        <v>Sat</v>
      </c>
      <c r="G455" s="10" t="str">
        <f aca="false">IF(WEEKDAY(A455,2)&gt;5,"Yes","No")</f>
        <v>Yes</v>
      </c>
      <c r="H455" s="10"/>
    </row>
    <row r="456" customFormat="false" ht="15" hidden="false" customHeight="true" outlineLevel="0" collapsed="false">
      <c r="A456" s="11" t="n">
        <v>45746</v>
      </c>
      <c r="B456" s="10" t="n">
        <f aca="false">YEAR(A456)</f>
        <v>2025</v>
      </c>
      <c r="C456" s="10" t="n">
        <f aca="false">MONTH(A456)</f>
        <v>3</v>
      </c>
      <c r="D456" s="10" t="str">
        <f aca="false">TEXT(A456,"mmm")</f>
        <v>Mar</v>
      </c>
      <c r="E456" s="10" t="str">
        <f aca="false">"Q"&amp;ROUNDUP(C456/3,0)</f>
        <v>Q1</v>
      </c>
      <c r="F456" s="10" t="str">
        <f aca="false">TEXT(A456,"ddd")</f>
        <v>Sun</v>
      </c>
      <c r="G456" s="10" t="str">
        <f aca="false">IF(WEEKDAY(A456,2)&gt;5,"Yes","No")</f>
        <v>Yes</v>
      </c>
      <c r="H456" s="10"/>
    </row>
    <row r="457" customFormat="false" ht="15" hidden="false" customHeight="true" outlineLevel="0" collapsed="false">
      <c r="A457" s="11" t="n">
        <v>45747</v>
      </c>
      <c r="B457" s="10" t="n">
        <f aca="false">YEAR(A457)</f>
        <v>2025</v>
      </c>
      <c r="C457" s="10" t="n">
        <f aca="false">MONTH(A457)</f>
        <v>3</v>
      </c>
      <c r="D457" s="10" t="str">
        <f aca="false">TEXT(A457,"mmm")</f>
        <v>Mar</v>
      </c>
      <c r="E457" s="10" t="str">
        <f aca="false">"Q"&amp;ROUNDUP(C457/3,0)</f>
        <v>Q1</v>
      </c>
      <c r="F457" s="10" t="str">
        <f aca="false">TEXT(A457,"ddd")</f>
        <v>Mon</v>
      </c>
      <c r="G457" s="10" t="str">
        <f aca="false">IF(WEEKDAY(A457,2)&gt;5,"Yes","No")</f>
        <v>No</v>
      </c>
      <c r="H457" s="10"/>
    </row>
    <row r="458" customFormat="false" ht="15" hidden="false" customHeight="true" outlineLevel="0" collapsed="false">
      <c r="A458" s="11" t="n">
        <v>45748</v>
      </c>
      <c r="B458" s="10" t="n">
        <f aca="false">YEAR(A458)</f>
        <v>2025</v>
      </c>
      <c r="C458" s="10" t="n">
        <f aca="false">MONTH(A458)</f>
        <v>4</v>
      </c>
      <c r="D458" s="10" t="str">
        <f aca="false">TEXT(A458,"mmm")</f>
        <v>Apr</v>
      </c>
      <c r="E458" s="10" t="str">
        <f aca="false">"Q"&amp;ROUNDUP(C458/3,0)</f>
        <v>Q2</v>
      </c>
      <c r="F458" s="10" t="str">
        <f aca="false">TEXT(A458,"ddd")</f>
        <v>Tue</v>
      </c>
      <c r="G458" s="10" t="str">
        <f aca="false">IF(WEEKDAY(A458,2)&gt;5,"Yes","No")</f>
        <v>No</v>
      </c>
      <c r="H458" s="10"/>
    </row>
    <row r="459" customFormat="false" ht="15" hidden="false" customHeight="true" outlineLevel="0" collapsed="false">
      <c r="A459" s="11" t="n">
        <v>45749</v>
      </c>
      <c r="B459" s="10" t="n">
        <f aca="false">YEAR(A459)</f>
        <v>2025</v>
      </c>
      <c r="C459" s="10" t="n">
        <f aca="false">MONTH(A459)</f>
        <v>4</v>
      </c>
      <c r="D459" s="10" t="str">
        <f aca="false">TEXT(A459,"mmm")</f>
        <v>Apr</v>
      </c>
      <c r="E459" s="10" t="str">
        <f aca="false">"Q"&amp;ROUNDUP(C459/3,0)</f>
        <v>Q2</v>
      </c>
      <c r="F459" s="10" t="str">
        <f aca="false">TEXT(A459,"ddd")</f>
        <v>Wed</v>
      </c>
      <c r="G459" s="10" t="str">
        <f aca="false">IF(WEEKDAY(A459,2)&gt;5,"Yes","No")</f>
        <v>No</v>
      </c>
      <c r="H459" s="10"/>
    </row>
    <row r="460" customFormat="false" ht="15" hidden="false" customHeight="true" outlineLevel="0" collapsed="false">
      <c r="A460" s="11" t="n">
        <v>45750</v>
      </c>
      <c r="B460" s="10" t="n">
        <f aca="false">YEAR(A460)</f>
        <v>2025</v>
      </c>
      <c r="C460" s="10" t="n">
        <f aca="false">MONTH(A460)</f>
        <v>4</v>
      </c>
      <c r="D460" s="10" t="str">
        <f aca="false">TEXT(A460,"mmm")</f>
        <v>Apr</v>
      </c>
      <c r="E460" s="10" t="str">
        <f aca="false">"Q"&amp;ROUNDUP(C460/3,0)</f>
        <v>Q2</v>
      </c>
      <c r="F460" s="10" t="str">
        <f aca="false">TEXT(A460,"ddd")</f>
        <v>Thu</v>
      </c>
      <c r="G460" s="10" t="str">
        <f aca="false">IF(WEEKDAY(A460,2)&gt;5,"Yes","No")</f>
        <v>No</v>
      </c>
      <c r="H460" s="10"/>
    </row>
    <row r="461" customFormat="false" ht="15" hidden="false" customHeight="true" outlineLevel="0" collapsed="false">
      <c r="A461" s="11" t="n">
        <v>45751</v>
      </c>
      <c r="B461" s="10" t="n">
        <f aca="false">YEAR(A461)</f>
        <v>2025</v>
      </c>
      <c r="C461" s="10" t="n">
        <f aca="false">MONTH(A461)</f>
        <v>4</v>
      </c>
      <c r="D461" s="10" t="str">
        <f aca="false">TEXT(A461,"mmm")</f>
        <v>Apr</v>
      </c>
      <c r="E461" s="10" t="str">
        <f aca="false">"Q"&amp;ROUNDUP(C461/3,0)</f>
        <v>Q2</v>
      </c>
      <c r="F461" s="10" t="str">
        <f aca="false">TEXT(A461,"ddd")</f>
        <v>Fri</v>
      </c>
      <c r="G461" s="10" t="str">
        <f aca="false">IF(WEEKDAY(A461,2)&gt;5,"Yes","No")</f>
        <v>No</v>
      </c>
      <c r="H461" s="10"/>
    </row>
    <row r="462" customFormat="false" ht="15" hidden="false" customHeight="true" outlineLevel="0" collapsed="false">
      <c r="A462" s="11" t="n">
        <v>45752</v>
      </c>
      <c r="B462" s="10" t="n">
        <f aca="false">YEAR(A462)</f>
        <v>2025</v>
      </c>
      <c r="C462" s="10" t="n">
        <f aca="false">MONTH(A462)</f>
        <v>4</v>
      </c>
      <c r="D462" s="10" t="str">
        <f aca="false">TEXT(A462,"mmm")</f>
        <v>Apr</v>
      </c>
      <c r="E462" s="10" t="str">
        <f aca="false">"Q"&amp;ROUNDUP(C462/3,0)</f>
        <v>Q2</v>
      </c>
      <c r="F462" s="10" t="str">
        <f aca="false">TEXT(A462,"ddd")</f>
        <v>Sat</v>
      </c>
      <c r="G462" s="10" t="str">
        <f aca="false">IF(WEEKDAY(A462,2)&gt;5,"Yes","No")</f>
        <v>Yes</v>
      </c>
      <c r="H462" s="10"/>
    </row>
    <row r="463" customFormat="false" ht="15" hidden="false" customHeight="true" outlineLevel="0" collapsed="false">
      <c r="A463" s="11" t="n">
        <v>45753</v>
      </c>
      <c r="B463" s="10" t="n">
        <f aca="false">YEAR(A463)</f>
        <v>2025</v>
      </c>
      <c r="C463" s="10" t="n">
        <f aca="false">MONTH(A463)</f>
        <v>4</v>
      </c>
      <c r="D463" s="10" t="str">
        <f aca="false">TEXT(A463,"mmm")</f>
        <v>Apr</v>
      </c>
      <c r="E463" s="10" t="str">
        <f aca="false">"Q"&amp;ROUNDUP(C463/3,0)</f>
        <v>Q2</v>
      </c>
      <c r="F463" s="10" t="str">
        <f aca="false">TEXT(A463,"ddd")</f>
        <v>Sun</v>
      </c>
      <c r="G463" s="10" t="str">
        <f aca="false">IF(WEEKDAY(A463,2)&gt;5,"Yes","No")</f>
        <v>Yes</v>
      </c>
      <c r="H463" s="10"/>
    </row>
    <row r="464" customFormat="false" ht="15" hidden="false" customHeight="true" outlineLevel="0" collapsed="false">
      <c r="A464" s="11" t="n">
        <v>45754</v>
      </c>
      <c r="B464" s="10" t="n">
        <f aca="false">YEAR(A464)</f>
        <v>2025</v>
      </c>
      <c r="C464" s="10" t="n">
        <f aca="false">MONTH(A464)</f>
        <v>4</v>
      </c>
      <c r="D464" s="10" t="str">
        <f aca="false">TEXT(A464,"mmm")</f>
        <v>Apr</v>
      </c>
      <c r="E464" s="10" t="str">
        <f aca="false">"Q"&amp;ROUNDUP(C464/3,0)</f>
        <v>Q2</v>
      </c>
      <c r="F464" s="10" t="str">
        <f aca="false">TEXT(A464,"ddd")</f>
        <v>Mon</v>
      </c>
      <c r="G464" s="10" t="str">
        <f aca="false">IF(WEEKDAY(A464,2)&gt;5,"Yes","No")</f>
        <v>No</v>
      </c>
      <c r="H464" s="10"/>
    </row>
    <row r="465" customFormat="false" ht="15" hidden="false" customHeight="true" outlineLevel="0" collapsed="false">
      <c r="A465" s="11" t="n">
        <v>45755</v>
      </c>
      <c r="B465" s="10" t="n">
        <f aca="false">YEAR(A465)</f>
        <v>2025</v>
      </c>
      <c r="C465" s="10" t="n">
        <f aca="false">MONTH(A465)</f>
        <v>4</v>
      </c>
      <c r="D465" s="10" t="str">
        <f aca="false">TEXT(A465,"mmm")</f>
        <v>Apr</v>
      </c>
      <c r="E465" s="10" t="str">
        <f aca="false">"Q"&amp;ROUNDUP(C465/3,0)</f>
        <v>Q2</v>
      </c>
      <c r="F465" s="10" t="str">
        <f aca="false">TEXT(A465,"ddd")</f>
        <v>Tue</v>
      </c>
      <c r="G465" s="10" t="str">
        <f aca="false">IF(WEEKDAY(A465,2)&gt;5,"Yes","No")</f>
        <v>No</v>
      </c>
      <c r="H465" s="10"/>
    </row>
    <row r="466" customFormat="false" ht="15" hidden="false" customHeight="true" outlineLevel="0" collapsed="false">
      <c r="A466" s="11" t="n">
        <v>45756</v>
      </c>
      <c r="B466" s="10" t="n">
        <f aca="false">YEAR(A466)</f>
        <v>2025</v>
      </c>
      <c r="C466" s="10" t="n">
        <f aca="false">MONTH(A466)</f>
        <v>4</v>
      </c>
      <c r="D466" s="10" t="str">
        <f aca="false">TEXT(A466,"mmm")</f>
        <v>Apr</v>
      </c>
      <c r="E466" s="10" t="str">
        <f aca="false">"Q"&amp;ROUNDUP(C466/3,0)</f>
        <v>Q2</v>
      </c>
      <c r="F466" s="10" t="str">
        <f aca="false">TEXT(A466,"ddd")</f>
        <v>Wed</v>
      </c>
      <c r="G466" s="10" t="str">
        <f aca="false">IF(WEEKDAY(A466,2)&gt;5,"Yes","No")</f>
        <v>No</v>
      </c>
      <c r="H466" s="10"/>
    </row>
    <row r="467" customFormat="false" ht="15" hidden="false" customHeight="true" outlineLevel="0" collapsed="false">
      <c r="A467" s="11" t="n">
        <v>45757</v>
      </c>
      <c r="B467" s="10" t="n">
        <f aca="false">YEAR(A467)</f>
        <v>2025</v>
      </c>
      <c r="C467" s="10" t="n">
        <f aca="false">MONTH(A467)</f>
        <v>4</v>
      </c>
      <c r="D467" s="10" t="str">
        <f aca="false">TEXT(A467,"mmm")</f>
        <v>Apr</v>
      </c>
      <c r="E467" s="10" t="str">
        <f aca="false">"Q"&amp;ROUNDUP(C467/3,0)</f>
        <v>Q2</v>
      </c>
      <c r="F467" s="10" t="str">
        <f aca="false">TEXT(A467,"ddd")</f>
        <v>Thu</v>
      </c>
      <c r="G467" s="10" t="str">
        <f aca="false">IF(WEEKDAY(A467,2)&gt;5,"Yes","No")</f>
        <v>No</v>
      </c>
      <c r="H467" s="10"/>
    </row>
    <row r="468" customFormat="false" ht="15" hidden="false" customHeight="true" outlineLevel="0" collapsed="false">
      <c r="A468" s="11" t="n">
        <v>45758</v>
      </c>
      <c r="B468" s="10" t="n">
        <f aca="false">YEAR(A468)</f>
        <v>2025</v>
      </c>
      <c r="C468" s="10" t="n">
        <f aca="false">MONTH(A468)</f>
        <v>4</v>
      </c>
      <c r="D468" s="10" t="str">
        <f aca="false">TEXT(A468,"mmm")</f>
        <v>Apr</v>
      </c>
      <c r="E468" s="10" t="str">
        <f aca="false">"Q"&amp;ROUNDUP(C468/3,0)</f>
        <v>Q2</v>
      </c>
      <c r="F468" s="10" t="str">
        <f aca="false">TEXT(A468,"ddd")</f>
        <v>Fri</v>
      </c>
      <c r="G468" s="10" t="str">
        <f aca="false">IF(WEEKDAY(A468,2)&gt;5,"Yes","No")</f>
        <v>No</v>
      </c>
      <c r="H468" s="10"/>
    </row>
    <row r="469" customFormat="false" ht="15" hidden="false" customHeight="true" outlineLevel="0" collapsed="false">
      <c r="A469" s="11" t="n">
        <v>45759</v>
      </c>
      <c r="B469" s="10" t="n">
        <f aca="false">YEAR(A469)</f>
        <v>2025</v>
      </c>
      <c r="C469" s="10" t="n">
        <f aca="false">MONTH(A469)</f>
        <v>4</v>
      </c>
      <c r="D469" s="10" t="str">
        <f aca="false">TEXT(A469,"mmm")</f>
        <v>Apr</v>
      </c>
      <c r="E469" s="10" t="str">
        <f aca="false">"Q"&amp;ROUNDUP(C469/3,0)</f>
        <v>Q2</v>
      </c>
      <c r="F469" s="10" t="str">
        <f aca="false">TEXT(A469,"ddd")</f>
        <v>Sat</v>
      </c>
      <c r="G469" s="10" t="str">
        <f aca="false">IF(WEEKDAY(A469,2)&gt;5,"Yes","No")</f>
        <v>Yes</v>
      </c>
      <c r="H469" s="10"/>
    </row>
    <row r="470" customFormat="false" ht="15" hidden="false" customHeight="true" outlineLevel="0" collapsed="false">
      <c r="A470" s="11" t="n">
        <v>45760</v>
      </c>
      <c r="B470" s="10" t="n">
        <f aca="false">YEAR(A470)</f>
        <v>2025</v>
      </c>
      <c r="C470" s="10" t="n">
        <f aca="false">MONTH(A470)</f>
        <v>4</v>
      </c>
      <c r="D470" s="10" t="str">
        <f aca="false">TEXT(A470,"mmm")</f>
        <v>Apr</v>
      </c>
      <c r="E470" s="10" t="str">
        <f aca="false">"Q"&amp;ROUNDUP(C470/3,0)</f>
        <v>Q2</v>
      </c>
      <c r="F470" s="10" t="str">
        <f aca="false">TEXT(A470,"ddd")</f>
        <v>Sun</v>
      </c>
      <c r="G470" s="10" t="str">
        <f aca="false">IF(WEEKDAY(A470,2)&gt;5,"Yes","No")</f>
        <v>Yes</v>
      </c>
      <c r="H470" s="10"/>
    </row>
    <row r="471" customFormat="false" ht="15" hidden="false" customHeight="true" outlineLevel="0" collapsed="false">
      <c r="A471" s="11" t="n">
        <v>45761</v>
      </c>
      <c r="B471" s="10" t="n">
        <f aca="false">YEAR(A471)</f>
        <v>2025</v>
      </c>
      <c r="C471" s="10" t="n">
        <f aca="false">MONTH(A471)</f>
        <v>4</v>
      </c>
      <c r="D471" s="10" t="str">
        <f aca="false">TEXT(A471,"mmm")</f>
        <v>Apr</v>
      </c>
      <c r="E471" s="10" t="str">
        <f aca="false">"Q"&amp;ROUNDUP(C471/3,0)</f>
        <v>Q2</v>
      </c>
      <c r="F471" s="10" t="str">
        <f aca="false">TEXT(A471,"ddd")</f>
        <v>Mon</v>
      </c>
      <c r="G471" s="10" t="str">
        <f aca="false">IF(WEEKDAY(A471,2)&gt;5,"Yes","No")</f>
        <v>No</v>
      </c>
      <c r="H471" s="10"/>
    </row>
    <row r="472" customFormat="false" ht="15" hidden="false" customHeight="true" outlineLevel="0" collapsed="false">
      <c r="A472" s="11" t="n">
        <v>45762</v>
      </c>
      <c r="B472" s="10" t="n">
        <f aca="false">YEAR(A472)</f>
        <v>2025</v>
      </c>
      <c r="C472" s="10" t="n">
        <f aca="false">MONTH(A472)</f>
        <v>4</v>
      </c>
      <c r="D472" s="10" t="str">
        <f aca="false">TEXT(A472,"mmm")</f>
        <v>Apr</v>
      </c>
      <c r="E472" s="10" t="str">
        <f aca="false">"Q"&amp;ROUNDUP(C472/3,0)</f>
        <v>Q2</v>
      </c>
      <c r="F472" s="10" t="str">
        <f aca="false">TEXT(A472,"ddd")</f>
        <v>Tue</v>
      </c>
      <c r="G472" s="10" t="str">
        <f aca="false">IF(WEEKDAY(A472,2)&gt;5,"Yes","No")</f>
        <v>No</v>
      </c>
      <c r="H472" s="10"/>
    </row>
    <row r="473" customFormat="false" ht="15" hidden="false" customHeight="true" outlineLevel="0" collapsed="false">
      <c r="A473" s="11" t="n">
        <v>45763</v>
      </c>
      <c r="B473" s="10" t="n">
        <f aca="false">YEAR(A473)</f>
        <v>2025</v>
      </c>
      <c r="C473" s="10" t="n">
        <f aca="false">MONTH(A473)</f>
        <v>4</v>
      </c>
      <c r="D473" s="10" t="str">
        <f aca="false">TEXT(A473,"mmm")</f>
        <v>Apr</v>
      </c>
      <c r="E473" s="10" t="str">
        <f aca="false">"Q"&amp;ROUNDUP(C473/3,0)</f>
        <v>Q2</v>
      </c>
      <c r="F473" s="10" t="str">
        <f aca="false">TEXT(A473,"ddd")</f>
        <v>Wed</v>
      </c>
      <c r="G473" s="10" t="str">
        <f aca="false">IF(WEEKDAY(A473,2)&gt;5,"Yes","No")</f>
        <v>No</v>
      </c>
      <c r="H473" s="10"/>
    </row>
    <row r="474" customFormat="false" ht="15" hidden="false" customHeight="true" outlineLevel="0" collapsed="false">
      <c r="A474" s="11" t="n">
        <v>45764</v>
      </c>
      <c r="B474" s="10" t="n">
        <f aca="false">YEAR(A474)</f>
        <v>2025</v>
      </c>
      <c r="C474" s="10" t="n">
        <f aca="false">MONTH(A474)</f>
        <v>4</v>
      </c>
      <c r="D474" s="10" t="str">
        <f aca="false">TEXT(A474,"mmm")</f>
        <v>Apr</v>
      </c>
      <c r="E474" s="10" t="str">
        <f aca="false">"Q"&amp;ROUNDUP(C474/3,0)</f>
        <v>Q2</v>
      </c>
      <c r="F474" s="10" t="str">
        <f aca="false">TEXT(A474,"ddd")</f>
        <v>Thu</v>
      </c>
      <c r="G474" s="10" t="str">
        <f aca="false">IF(WEEKDAY(A474,2)&gt;5,"Yes","No")</f>
        <v>No</v>
      </c>
      <c r="H474" s="10"/>
    </row>
    <row r="475" customFormat="false" ht="15" hidden="false" customHeight="true" outlineLevel="0" collapsed="false">
      <c r="A475" s="11" t="n">
        <v>45765</v>
      </c>
      <c r="B475" s="10" t="n">
        <f aca="false">YEAR(A475)</f>
        <v>2025</v>
      </c>
      <c r="C475" s="10" t="n">
        <f aca="false">MONTH(A475)</f>
        <v>4</v>
      </c>
      <c r="D475" s="10" t="str">
        <f aca="false">TEXT(A475,"mmm")</f>
        <v>Apr</v>
      </c>
      <c r="E475" s="10" t="str">
        <f aca="false">"Q"&amp;ROUNDUP(C475/3,0)</f>
        <v>Q2</v>
      </c>
      <c r="F475" s="10" t="str">
        <f aca="false">TEXT(A475,"ddd")</f>
        <v>Fri</v>
      </c>
      <c r="G475" s="10" t="str">
        <f aca="false">IF(WEEKDAY(A475,2)&gt;5,"Yes","No")</f>
        <v>No</v>
      </c>
      <c r="H475" s="10" t="s">
        <v>993</v>
      </c>
    </row>
    <row r="476" customFormat="false" ht="15" hidden="false" customHeight="true" outlineLevel="0" collapsed="false">
      <c r="A476" s="11" t="n">
        <v>45766</v>
      </c>
      <c r="B476" s="10" t="n">
        <f aca="false">YEAR(A476)</f>
        <v>2025</v>
      </c>
      <c r="C476" s="10" t="n">
        <f aca="false">MONTH(A476)</f>
        <v>4</v>
      </c>
      <c r="D476" s="10" t="str">
        <f aca="false">TEXT(A476,"mmm")</f>
        <v>Apr</v>
      </c>
      <c r="E476" s="10" t="str">
        <f aca="false">"Q"&amp;ROUNDUP(C476/3,0)</f>
        <v>Q2</v>
      </c>
      <c r="F476" s="10" t="str">
        <f aca="false">TEXT(A476,"ddd")</f>
        <v>Sat</v>
      </c>
      <c r="G476" s="10" t="str">
        <f aca="false">IF(WEEKDAY(A476,2)&gt;5,"Yes","No")</f>
        <v>Yes</v>
      </c>
      <c r="H476" s="10"/>
    </row>
    <row r="477" customFormat="false" ht="15" hidden="false" customHeight="true" outlineLevel="0" collapsed="false">
      <c r="A477" s="11" t="n">
        <v>45767</v>
      </c>
      <c r="B477" s="10" t="n">
        <f aca="false">YEAR(A477)</f>
        <v>2025</v>
      </c>
      <c r="C477" s="10" t="n">
        <f aca="false">MONTH(A477)</f>
        <v>4</v>
      </c>
      <c r="D477" s="10" t="str">
        <f aca="false">TEXT(A477,"mmm")</f>
        <v>Apr</v>
      </c>
      <c r="E477" s="10" t="str">
        <f aca="false">"Q"&amp;ROUNDUP(C477/3,0)</f>
        <v>Q2</v>
      </c>
      <c r="F477" s="10" t="str">
        <f aca="false">TEXT(A477,"ddd")</f>
        <v>Sun</v>
      </c>
      <c r="G477" s="10" t="str">
        <f aca="false">IF(WEEKDAY(A477,2)&gt;5,"Yes","No")</f>
        <v>Yes</v>
      </c>
      <c r="H477" s="10"/>
    </row>
    <row r="478" customFormat="false" ht="15" hidden="false" customHeight="true" outlineLevel="0" collapsed="false">
      <c r="A478" s="11" t="n">
        <v>45768</v>
      </c>
      <c r="B478" s="10" t="n">
        <f aca="false">YEAR(A478)</f>
        <v>2025</v>
      </c>
      <c r="C478" s="10" t="n">
        <f aca="false">MONTH(A478)</f>
        <v>4</v>
      </c>
      <c r="D478" s="10" t="str">
        <f aca="false">TEXT(A478,"mmm")</f>
        <v>Apr</v>
      </c>
      <c r="E478" s="10" t="str">
        <f aca="false">"Q"&amp;ROUNDUP(C478/3,0)</f>
        <v>Q2</v>
      </c>
      <c r="F478" s="10" t="str">
        <f aca="false">TEXT(A478,"ddd")</f>
        <v>Mon</v>
      </c>
      <c r="G478" s="10" t="str">
        <f aca="false">IF(WEEKDAY(A478,2)&gt;5,"Yes","No")</f>
        <v>No</v>
      </c>
      <c r="H478" s="10" t="s">
        <v>994</v>
      </c>
    </row>
    <row r="479" customFormat="false" ht="15" hidden="false" customHeight="true" outlineLevel="0" collapsed="false">
      <c r="A479" s="11" t="n">
        <v>45769</v>
      </c>
      <c r="B479" s="10" t="n">
        <f aca="false">YEAR(A479)</f>
        <v>2025</v>
      </c>
      <c r="C479" s="10" t="n">
        <f aca="false">MONTH(A479)</f>
        <v>4</v>
      </c>
      <c r="D479" s="10" t="str">
        <f aca="false">TEXT(A479,"mmm")</f>
        <v>Apr</v>
      </c>
      <c r="E479" s="10" t="str">
        <f aca="false">"Q"&amp;ROUNDUP(C479/3,0)</f>
        <v>Q2</v>
      </c>
      <c r="F479" s="10" t="str">
        <f aca="false">TEXT(A479,"ddd")</f>
        <v>Tue</v>
      </c>
      <c r="G479" s="10" t="str">
        <f aca="false">IF(WEEKDAY(A479,2)&gt;5,"Yes","No")</f>
        <v>No</v>
      </c>
      <c r="H479" s="10"/>
    </row>
    <row r="480" customFormat="false" ht="15" hidden="false" customHeight="true" outlineLevel="0" collapsed="false">
      <c r="A480" s="11" t="n">
        <v>45770</v>
      </c>
      <c r="B480" s="10" t="n">
        <f aca="false">YEAR(A480)</f>
        <v>2025</v>
      </c>
      <c r="C480" s="10" t="n">
        <f aca="false">MONTH(A480)</f>
        <v>4</v>
      </c>
      <c r="D480" s="10" t="str">
        <f aca="false">TEXT(A480,"mmm")</f>
        <v>Apr</v>
      </c>
      <c r="E480" s="10" t="str">
        <f aca="false">"Q"&amp;ROUNDUP(C480/3,0)</f>
        <v>Q2</v>
      </c>
      <c r="F480" s="10" t="str">
        <f aca="false">TEXT(A480,"ddd")</f>
        <v>Wed</v>
      </c>
      <c r="G480" s="10" t="str">
        <f aca="false">IF(WEEKDAY(A480,2)&gt;5,"Yes","No")</f>
        <v>No</v>
      </c>
      <c r="H480" s="10"/>
    </row>
    <row r="481" customFormat="false" ht="15" hidden="false" customHeight="true" outlineLevel="0" collapsed="false">
      <c r="A481" s="11" t="n">
        <v>45771</v>
      </c>
      <c r="B481" s="10" t="n">
        <f aca="false">YEAR(A481)</f>
        <v>2025</v>
      </c>
      <c r="C481" s="10" t="n">
        <f aca="false">MONTH(A481)</f>
        <v>4</v>
      </c>
      <c r="D481" s="10" t="str">
        <f aca="false">TEXT(A481,"mmm")</f>
        <v>Apr</v>
      </c>
      <c r="E481" s="10" t="str">
        <f aca="false">"Q"&amp;ROUNDUP(C481/3,0)</f>
        <v>Q2</v>
      </c>
      <c r="F481" s="10" t="str">
        <f aca="false">TEXT(A481,"ddd")</f>
        <v>Thu</v>
      </c>
      <c r="G481" s="10" t="str">
        <f aca="false">IF(WEEKDAY(A481,2)&gt;5,"Yes","No")</f>
        <v>No</v>
      </c>
      <c r="H481" s="10"/>
    </row>
    <row r="482" customFormat="false" ht="15" hidden="false" customHeight="true" outlineLevel="0" collapsed="false">
      <c r="A482" s="11" t="n">
        <v>45772</v>
      </c>
      <c r="B482" s="10" t="n">
        <f aca="false">YEAR(A482)</f>
        <v>2025</v>
      </c>
      <c r="C482" s="10" t="n">
        <f aca="false">MONTH(A482)</f>
        <v>4</v>
      </c>
      <c r="D482" s="10" t="str">
        <f aca="false">TEXT(A482,"mmm")</f>
        <v>Apr</v>
      </c>
      <c r="E482" s="10" t="str">
        <f aca="false">"Q"&amp;ROUNDUP(C482/3,0)</f>
        <v>Q2</v>
      </c>
      <c r="F482" s="10" t="str">
        <f aca="false">TEXT(A482,"ddd")</f>
        <v>Fri</v>
      </c>
      <c r="G482" s="10" t="str">
        <f aca="false">IF(WEEKDAY(A482,2)&gt;5,"Yes","No")</f>
        <v>No</v>
      </c>
      <c r="H482" s="10"/>
    </row>
    <row r="483" customFormat="false" ht="15" hidden="false" customHeight="true" outlineLevel="0" collapsed="false">
      <c r="A483" s="11" t="n">
        <v>45773</v>
      </c>
      <c r="B483" s="10" t="n">
        <f aca="false">YEAR(A483)</f>
        <v>2025</v>
      </c>
      <c r="C483" s="10" t="n">
        <f aca="false">MONTH(A483)</f>
        <v>4</v>
      </c>
      <c r="D483" s="10" t="str">
        <f aca="false">TEXT(A483,"mmm")</f>
        <v>Apr</v>
      </c>
      <c r="E483" s="10" t="str">
        <f aca="false">"Q"&amp;ROUNDUP(C483/3,0)</f>
        <v>Q2</v>
      </c>
      <c r="F483" s="10" t="str">
        <f aca="false">TEXT(A483,"ddd")</f>
        <v>Sat</v>
      </c>
      <c r="G483" s="10" t="str">
        <f aca="false">IF(WEEKDAY(A483,2)&gt;5,"Yes","No")</f>
        <v>Yes</v>
      </c>
      <c r="H483" s="10"/>
    </row>
    <row r="484" customFormat="false" ht="15" hidden="false" customHeight="true" outlineLevel="0" collapsed="false">
      <c r="A484" s="11" t="n">
        <v>45774</v>
      </c>
      <c r="B484" s="10" t="n">
        <f aca="false">YEAR(A484)</f>
        <v>2025</v>
      </c>
      <c r="C484" s="10" t="n">
        <f aca="false">MONTH(A484)</f>
        <v>4</v>
      </c>
      <c r="D484" s="10" t="str">
        <f aca="false">TEXT(A484,"mmm")</f>
        <v>Apr</v>
      </c>
      <c r="E484" s="10" t="str">
        <f aca="false">"Q"&amp;ROUNDUP(C484/3,0)</f>
        <v>Q2</v>
      </c>
      <c r="F484" s="10" t="str">
        <f aca="false">TEXT(A484,"ddd")</f>
        <v>Sun</v>
      </c>
      <c r="G484" s="10" t="str">
        <f aca="false">IF(WEEKDAY(A484,2)&gt;5,"Yes","No")</f>
        <v>Yes</v>
      </c>
      <c r="H484" s="10" t="s">
        <v>995</v>
      </c>
    </row>
    <row r="485" customFormat="false" ht="15" hidden="false" customHeight="true" outlineLevel="0" collapsed="false">
      <c r="A485" s="11" t="n">
        <v>45775</v>
      </c>
      <c r="B485" s="10" t="n">
        <f aca="false">YEAR(A485)</f>
        <v>2025</v>
      </c>
      <c r="C485" s="10" t="n">
        <f aca="false">MONTH(A485)</f>
        <v>4</v>
      </c>
      <c r="D485" s="10" t="str">
        <f aca="false">TEXT(A485,"mmm")</f>
        <v>Apr</v>
      </c>
      <c r="E485" s="10" t="str">
        <f aca="false">"Q"&amp;ROUNDUP(C485/3,0)</f>
        <v>Q2</v>
      </c>
      <c r="F485" s="10" t="str">
        <f aca="false">TEXT(A485,"ddd")</f>
        <v>Mon</v>
      </c>
      <c r="G485" s="10" t="str">
        <f aca="false">IF(WEEKDAY(A485,2)&gt;5,"Yes","No")</f>
        <v>No</v>
      </c>
      <c r="H485" s="10" t="s">
        <v>1005</v>
      </c>
    </row>
    <row r="486" customFormat="false" ht="15" hidden="false" customHeight="true" outlineLevel="0" collapsed="false">
      <c r="A486" s="11" t="n">
        <v>45776</v>
      </c>
      <c r="B486" s="10" t="n">
        <f aca="false">YEAR(A486)</f>
        <v>2025</v>
      </c>
      <c r="C486" s="10" t="n">
        <f aca="false">MONTH(A486)</f>
        <v>4</v>
      </c>
      <c r="D486" s="10" t="str">
        <f aca="false">TEXT(A486,"mmm")</f>
        <v>Apr</v>
      </c>
      <c r="E486" s="10" t="str">
        <f aca="false">"Q"&amp;ROUNDUP(C486/3,0)</f>
        <v>Q2</v>
      </c>
      <c r="F486" s="10" t="str">
        <f aca="false">TEXT(A486,"ddd")</f>
        <v>Tue</v>
      </c>
      <c r="G486" s="10" t="str">
        <f aca="false">IF(WEEKDAY(A486,2)&gt;5,"Yes","No")</f>
        <v>No</v>
      </c>
      <c r="H486" s="10"/>
    </row>
    <row r="487" customFormat="false" ht="15" hidden="false" customHeight="true" outlineLevel="0" collapsed="false">
      <c r="A487" s="11" t="n">
        <v>45777</v>
      </c>
      <c r="B487" s="10" t="n">
        <f aca="false">YEAR(A487)</f>
        <v>2025</v>
      </c>
      <c r="C487" s="10" t="n">
        <f aca="false">MONTH(A487)</f>
        <v>4</v>
      </c>
      <c r="D487" s="10" t="str">
        <f aca="false">TEXT(A487,"mmm")</f>
        <v>Apr</v>
      </c>
      <c r="E487" s="10" t="str">
        <f aca="false">"Q"&amp;ROUNDUP(C487/3,0)</f>
        <v>Q2</v>
      </c>
      <c r="F487" s="10" t="str">
        <f aca="false">TEXT(A487,"ddd")</f>
        <v>Wed</v>
      </c>
      <c r="G487" s="10" t="str">
        <f aca="false">IF(WEEKDAY(A487,2)&gt;5,"Yes","No")</f>
        <v>No</v>
      </c>
      <c r="H487" s="10"/>
    </row>
    <row r="488" customFormat="false" ht="15" hidden="false" customHeight="true" outlineLevel="0" collapsed="false">
      <c r="A488" s="11" t="n">
        <v>45778</v>
      </c>
      <c r="B488" s="10" t="n">
        <f aca="false">YEAR(A488)</f>
        <v>2025</v>
      </c>
      <c r="C488" s="10" t="n">
        <f aca="false">MONTH(A488)</f>
        <v>5</v>
      </c>
      <c r="D488" s="10" t="str">
        <f aca="false">TEXT(A488,"mmm")</f>
        <v>May</v>
      </c>
      <c r="E488" s="10" t="str">
        <f aca="false">"Q"&amp;ROUNDUP(C488/3,0)</f>
        <v>Q2</v>
      </c>
      <c r="F488" s="10" t="str">
        <f aca="false">TEXT(A488,"ddd")</f>
        <v>Thu</v>
      </c>
      <c r="G488" s="10" t="str">
        <f aca="false">IF(WEEKDAY(A488,2)&gt;5,"Yes","No")</f>
        <v>No</v>
      </c>
      <c r="H488" s="10" t="s">
        <v>996</v>
      </c>
    </row>
    <row r="489" customFormat="false" ht="15" hidden="false" customHeight="true" outlineLevel="0" collapsed="false">
      <c r="A489" s="11" t="n">
        <v>45779</v>
      </c>
      <c r="B489" s="10" t="n">
        <f aca="false">YEAR(A489)</f>
        <v>2025</v>
      </c>
      <c r="C489" s="10" t="n">
        <f aca="false">MONTH(A489)</f>
        <v>5</v>
      </c>
      <c r="D489" s="10" t="str">
        <f aca="false">TEXT(A489,"mmm")</f>
        <v>May</v>
      </c>
      <c r="E489" s="10" t="str">
        <f aca="false">"Q"&amp;ROUNDUP(C489/3,0)</f>
        <v>Q2</v>
      </c>
      <c r="F489" s="10" t="str">
        <f aca="false">TEXT(A489,"ddd")</f>
        <v>Fri</v>
      </c>
      <c r="G489" s="10" t="str">
        <f aca="false">IF(WEEKDAY(A489,2)&gt;5,"Yes","No")</f>
        <v>No</v>
      </c>
      <c r="H489" s="10"/>
    </row>
    <row r="490" customFormat="false" ht="15" hidden="false" customHeight="true" outlineLevel="0" collapsed="false">
      <c r="A490" s="11" t="n">
        <v>45780</v>
      </c>
      <c r="B490" s="10" t="n">
        <f aca="false">YEAR(A490)</f>
        <v>2025</v>
      </c>
      <c r="C490" s="10" t="n">
        <f aca="false">MONTH(A490)</f>
        <v>5</v>
      </c>
      <c r="D490" s="10" t="str">
        <f aca="false">TEXT(A490,"mmm")</f>
        <v>May</v>
      </c>
      <c r="E490" s="10" t="str">
        <f aca="false">"Q"&amp;ROUNDUP(C490/3,0)</f>
        <v>Q2</v>
      </c>
      <c r="F490" s="10" t="str">
        <f aca="false">TEXT(A490,"ddd")</f>
        <v>Sat</v>
      </c>
      <c r="G490" s="10" t="str">
        <f aca="false">IF(WEEKDAY(A490,2)&gt;5,"Yes","No")</f>
        <v>Yes</v>
      </c>
      <c r="H490" s="10"/>
    </row>
    <row r="491" customFormat="false" ht="15" hidden="false" customHeight="true" outlineLevel="0" collapsed="false">
      <c r="A491" s="11" t="n">
        <v>45781</v>
      </c>
      <c r="B491" s="10" t="n">
        <f aca="false">YEAR(A491)</f>
        <v>2025</v>
      </c>
      <c r="C491" s="10" t="n">
        <f aca="false">MONTH(A491)</f>
        <v>5</v>
      </c>
      <c r="D491" s="10" t="str">
        <f aca="false">TEXT(A491,"mmm")</f>
        <v>May</v>
      </c>
      <c r="E491" s="10" t="str">
        <f aca="false">"Q"&amp;ROUNDUP(C491/3,0)</f>
        <v>Q2</v>
      </c>
      <c r="F491" s="10" t="str">
        <f aca="false">TEXT(A491,"ddd")</f>
        <v>Sun</v>
      </c>
      <c r="G491" s="10" t="str">
        <f aca="false">IF(WEEKDAY(A491,2)&gt;5,"Yes","No")</f>
        <v>Yes</v>
      </c>
      <c r="H491" s="10"/>
    </row>
    <row r="492" customFormat="false" ht="15" hidden="false" customHeight="true" outlineLevel="0" collapsed="false">
      <c r="A492" s="11" t="n">
        <v>45782</v>
      </c>
      <c r="B492" s="10" t="n">
        <f aca="false">YEAR(A492)</f>
        <v>2025</v>
      </c>
      <c r="C492" s="10" t="n">
        <f aca="false">MONTH(A492)</f>
        <v>5</v>
      </c>
      <c r="D492" s="10" t="str">
        <f aca="false">TEXT(A492,"mmm")</f>
        <v>May</v>
      </c>
      <c r="E492" s="10" t="str">
        <f aca="false">"Q"&amp;ROUNDUP(C492/3,0)</f>
        <v>Q2</v>
      </c>
      <c r="F492" s="10" t="str">
        <f aca="false">TEXT(A492,"ddd")</f>
        <v>Mon</v>
      </c>
      <c r="G492" s="10" t="str">
        <f aca="false">IF(WEEKDAY(A492,2)&gt;5,"Yes","No")</f>
        <v>No</v>
      </c>
      <c r="H492" s="10"/>
    </row>
    <row r="493" customFormat="false" ht="15" hidden="false" customHeight="true" outlineLevel="0" collapsed="false">
      <c r="A493" s="11" t="n">
        <v>45783</v>
      </c>
      <c r="B493" s="10" t="n">
        <f aca="false">YEAR(A493)</f>
        <v>2025</v>
      </c>
      <c r="C493" s="10" t="n">
        <f aca="false">MONTH(A493)</f>
        <v>5</v>
      </c>
      <c r="D493" s="10" t="str">
        <f aca="false">TEXT(A493,"mmm")</f>
        <v>May</v>
      </c>
      <c r="E493" s="10" t="str">
        <f aca="false">"Q"&amp;ROUNDUP(C493/3,0)</f>
        <v>Q2</v>
      </c>
      <c r="F493" s="10" t="str">
        <f aca="false">TEXT(A493,"ddd")</f>
        <v>Tue</v>
      </c>
      <c r="G493" s="10" t="str">
        <f aca="false">IF(WEEKDAY(A493,2)&gt;5,"Yes","No")</f>
        <v>No</v>
      </c>
      <c r="H493" s="10"/>
    </row>
    <row r="494" customFormat="false" ht="15" hidden="false" customHeight="true" outlineLevel="0" collapsed="false">
      <c r="A494" s="11" t="n">
        <v>45784</v>
      </c>
      <c r="B494" s="10" t="n">
        <f aca="false">YEAR(A494)</f>
        <v>2025</v>
      </c>
      <c r="C494" s="10" t="n">
        <f aca="false">MONTH(A494)</f>
        <v>5</v>
      </c>
      <c r="D494" s="10" t="str">
        <f aca="false">TEXT(A494,"mmm")</f>
        <v>May</v>
      </c>
      <c r="E494" s="10" t="str">
        <f aca="false">"Q"&amp;ROUNDUP(C494/3,0)</f>
        <v>Q2</v>
      </c>
      <c r="F494" s="10" t="str">
        <f aca="false">TEXT(A494,"ddd")</f>
        <v>Wed</v>
      </c>
      <c r="G494" s="10" t="str">
        <f aca="false">IF(WEEKDAY(A494,2)&gt;5,"Yes","No")</f>
        <v>No</v>
      </c>
      <c r="H494" s="10"/>
    </row>
    <row r="495" customFormat="false" ht="15" hidden="false" customHeight="true" outlineLevel="0" collapsed="false">
      <c r="A495" s="11" t="n">
        <v>45785</v>
      </c>
      <c r="B495" s="10" t="n">
        <f aca="false">YEAR(A495)</f>
        <v>2025</v>
      </c>
      <c r="C495" s="10" t="n">
        <f aca="false">MONTH(A495)</f>
        <v>5</v>
      </c>
      <c r="D495" s="10" t="str">
        <f aca="false">TEXT(A495,"mmm")</f>
        <v>May</v>
      </c>
      <c r="E495" s="10" t="str">
        <f aca="false">"Q"&amp;ROUNDUP(C495/3,0)</f>
        <v>Q2</v>
      </c>
      <c r="F495" s="10" t="str">
        <f aca="false">TEXT(A495,"ddd")</f>
        <v>Thu</v>
      </c>
      <c r="G495" s="10" t="str">
        <f aca="false">IF(WEEKDAY(A495,2)&gt;5,"Yes","No")</f>
        <v>No</v>
      </c>
      <c r="H495" s="10"/>
    </row>
    <row r="496" customFormat="false" ht="15" hidden="false" customHeight="true" outlineLevel="0" collapsed="false">
      <c r="A496" s="11" t="n">
        <v>45786</v>
      </c>
      <c r="B496" s="10" t="n">
        <f aca="false">YEAR(A496)</f>
        <v>2025</v>
      </c>
      <c r="C496" s="10" t="n">
        <f aca="false">MONTH(A496)</f>
        <v>5</v>
      </c>
      <c r="D496" s="10" t="str">
        <f aca="false">TEXT(A496,"mmm")</f>
        <v>May</v>
      </c>
      <c r="E496" s="10" t="str">
        <f aca="false">"Q"&amp;ROUNDUP(C496/3,0)</f>
        <v>Q2</v>
      </c>
      <c r="F496" s="10" t="str">
        <f aca="false">TEXT(A496,"ddd")</f>
        <v>Fri</v>
      </c>
      <c r="G496" s="10" t="str">
        <f aca="false">IF(WEEKDAY(A496,2)&gt;5,"Yes","No")</f>
        <v>No</v>
      </c>
      <c r="H496" s="10"/>
    </row>
    <row r="497" customFormat="false" ht="15" hidden="false" customHeight="true" outlineLevel="0" collapsed="false">
      <c r="A497" s="11" t="n">
        <v>45787</v>
      </c>
      <c r="B497" s="10" t="n">
        <f aca="false">YEAR(A497)</f>
        <v>2025</v>
      </c>
      <c r="C497" s="10" t="n">
        <f aca="false">MONTH(A497)</f>
        <v>5</v>
      </c>
      <c r="D497" s="10" t="str">
        <f aca="false">TEXT(A497,"mmm")</f>
        <v>May</v>
      </c>
      <c r="E497" s="10" t="str">
        <f aca="false">"Q"&amp;ROUNDUP(C497/3,0)</f>
        <v>Q2</v>
      </c>
      <c r="F497" s="10" t="str">
        <f aca="false">TEXT(A497,"ddd")</f>
        <v>Sat</v>
      </c>
      <c r="G497" s="10" t="str">
        <f aca="false">IF(WEEKDAY(A497,2)&gt;5,"Yes","No")</f>
        <v>Yes</v>
      </c>
      <c r="H497" s="10"/>
    </row>
    <row r="498" customFormat="false" ht="15" hidden="false" customHeight="true" outlineLevel="0" collapsed="false">
      <c r="A498" s="11" t="n">
        <v>45788</v>
      </c>
      <c r="B498" s="10" t="n">
        <f aca="false">YEAR(A498)</f>
        <v>2025</v>
      </c>
      <c r="C498" s="10" t="n">
        <f aca="false">MONTH(A498)</f>
        <v>5</v>
      </c>
      <c r="D498" s="10" t="str">
        <f aca="false">TEXT(A498,"mmm")</f>
        <v>May</v>
      </c>
      <c r="E498" s="10" t="str">
        <f aca="false">"Q"&amp;ROUNDUP(C498/3,0)</f>
        <v>Q2</v>
      </c>
      <c r="F498" s="10" t="str">
        <f aca="false">TEXT(A498,"ddd")</f>
        <v>Sun</v>
      </c>
      <c r="G498" s="10" t="str">
        <f aca="false">IF(WEEKDAY(A498,2)&gt;5,"Yes","No")</f>
        <v>Yes</v>
      </c>
      <c r="H498" s="10"/>
    </row>
    <row r="499" customFormat="false" ht="15" hidden="false" customHeight="true" outlineLevel="0" collapsed="false">
      <c r="A499" s="11" t="n">
        <v>45789</v>
      </c>
      <c r="B499" s="10" t="n">
        <f aca="false">YEAR(A499)</f>
        <v>2025</v>
      </c>
      <c r="C499" s="10" t="n">
        <f aca="false">MONTH(A499)</f>
        <v>5</v>
      </c>
      <c r="D499" s="10" t="str">
        <f aca="false">TEXT(A499,"mmm")</f>
        <v>May</v>
      </c>
      <c r="E499" s="10" t="str">
        <f aca="false">"Q"&amp;ROUNDUP(C499/3,0)</f>
        <v>Q2</v>
      </c>
      <c r="F499" s="10" t="str">
        <f aca="false">TEXT(A499,"ddd")</f>
        <v>Mon</v>
      </c>
      <c r="G499" s="10" t="str">
        <f aca="false">IF(WEEKDAY(A499,2)&gt;5,"Yes","No")</f>
        <v>No</v>
      </c>
      <c r="H499" s="10"/>
    </row>
    <row r="500" customFormat="false" ht="15" hidden="false" customHeight="true" outlineLevel="0" collapsed="false">
      <c r="A500" s="11" t="n">
        <v>45790</v>
      </c>
      <c r="B500" s="10" t="n">
        <f aca="false">YEAR(A500)</f>
        <v>2025</v>
      </c>
      <c r="C500" s="10" t="n">
        <f aca="false">MONTH(A500)</f>
        <v>5</v>
      </c>
      <c r="D500" s="10" t="str">
        <f aca="false">TEXT(A500,"mmm")</f>
        <v>May</v>
      </c>
      <c r="E500" s="10" t="str">
        <f aca="false">"Q"&amp;ROUNDUP(C500/3,0)</f>
        <v>Q2</v>
      </c>
      <c r="F500" s="10" t="str">
        <f aca="false">TEXT(A500,"ddd")</f>
        <v>Tue</v>
      </c>
      <c r="G500" s="10" t="str">
        <f aca="false">IF(WEEKDAY(A500,2)&gt;5,"Yes","No")</f>
        <v>No</v>
      </c>
      <c r="H500" s="10"/>
    </row>
    <row r="501" customFormat="false" ht="15" hidden="false" customHeight="true" outlineLevel="0" collapsed="false">
      <c r="A501" s="11" t="n">
        <v>45791</v>
      </c>
      <c r="B501" s="10" t="n">
        <f aca="false">YEAR(A501)</f>
        <v>2025</v>
      </c>
      <c r="C501" s="10" t="n">
        <f aca="false">MONTH(A501)</f>
        <v>5</v>
      </c>
      <c r="D501" s="10" t="str">
        <f aca="false">TEXT(A501,"mmm")</f>
        <v>May</v>
      </c>
      <c r="E501" s="10" t="str">
        <f aca="false">"Q"&amp;ROUNDUP(C501/3,0)</f>
        <v>Q2</v>
      </c>
      <c r="F501" s="10" t="str">
        <f aca="false">TEXT(A501,"ddd")</f>
        <v>Wed</v>
      </c>
      <c r="G501" s="10" t="str">
        <f aca="false">IF(WEEKDAY(A501,2)&gt;5,"Yes","No")</f>
        <v>No</v>
      </c>
      <c r="H501" s="10"/>
    </row>
    <row r="502" customFormat="false" ht="15" hidden="false" customHeight="true" outlineLevel="0" collapsed="false">
      <c r="A502" s="11" t="n">
        <v>45792</v>
      </c>
      <c r="B502" s="10" t="n">
        <f aca="false">YEAR(A502)</f>
        <v>2025</v>
      </c>
      <c r="C502" s="10" t="n">
        <f aca="false">MONTH(A502)</f>
        <v>5</v>
      </c>
      <c r="D502" s="10" t="str">
        <f aca="false">TEXT(A502,"mmm")</f>
        <v>May</v>
      </c>
      <c r="E502" s="10" t="str">
        <f aca="false">"Q"&amp;ROUNDUP(C502/3,0)</f>
        <v>Q2</v>
      </c>
      <c r="F502" s="10" t="str">
        <f aca="false">TEXT(A502,"ddd")</f>
        <v>Thu</v>
      </c>
      <c r="G502" s="10" t="str">
        <f aca="false">IF(WEEKDAY(A502,2)&gt;5,"Yes","No")</f>
        <v>No</v>
      </c>
      <c r="H502" s="10"/>
    </row>
    <row r="503" customFormat="false" ht="15" hidden="false" customHeight="true" outlineLevel="0" collapsed="false">
      <c r="A503" s="11" t="n">
        <v>45793</v>
      </c>
      <c r="B503" s="10" t="n">
        <f aca="false">YEAR(A503)</f>
        <v>2025</v>
      </c>
      <c r="C503" s="10" t="n">
        <f aca="false">MONTH(A503)</f>
        <v>5</v>
      </c>
      <c r="D503" s="10" t="str">
        <f aca="false">TEXT(A503,"mmm")</f>
        <v>May</v>
      </c>
      <c r="E503" s="10" t="str">
        <f aca="false">"Q"&amp;ROUNDUP(C503/3,0)</f>
        <v>Q2</v>
      </c>
      <c r="F503" s="10" t="str">
        <f aca="false">TEXT(A503,"ddd")</f>
        <v>Fri</v>
      </c>
      <c r="G503" s="10" t="str">
        <f aca="false">IF(WEEKDAY(A503,2)&gt;5,"Yes","No")</f>
        <v>No</v>
      </c>
      <c r="H503" s="10"/>
    </row>
    <row r="504" customFormat="false" ht="15" hidden="false" customHeight="true" outlineLevel="0" collapsed="false">
      <c r="A504" s="11" t="n">
        <v>45794</v>
      </c>
      <c r="B504" s="10" t="n">
        <f aca="false">YEAR(A504)</f>
        <v>2025</v>
      </c>
      <c r="C504" s="10" t="n">
        <f aca="false">MONTH(A504)</f>
        <v>5</v>
      </c>
      <c r="D504" s="10" t="str">
        <f aca="false">TEXT(A504,"mmm")</f>
        <v>May</v>
      </c>
      <c r="E504" s="10" t="str">
        <f aca="false">"Q"&amp;ROUNDUP(C504/3,0)</f>
        <v>Q2</v>
      </c>
      <c r="F504" s="10" t="str">
        <f aca="false">TEXT(A504,"ddd")</f>
        <v>Sat</v>
      </c>
      <c r="G504" s="10" t="str">
        <f aca="false">IF(WEEKDAY(A504,2)&gt;5,"Yes","No")</f>
        <v>Yes</v>
      </c>
      <c r="H504" s="10"/>
    </row>
    <row r="505" customFormat="false" ht="15" hidden="false" customHeight="true" outlineLevel="0" collapsed="false">
      <c r="A505" s="11" t="n">
        <v>45795</v>
      </c>
      <c r="B505" s="10" t="n">
        <f aca="false">YEAR(A505)</f>
        <v>2025</v>
      </c>
      <c r="C505" s="10" t="n">
        <f aca="false">MONTH(A505)</f>
        <v>5</v>
      </c>
      <c r="D505" s="10" t="str">
        <f aca="false">TEXT(A505,"mmm")</f>
        <v>May</v>
      </c>
      <c r="E505" s="10" t="str">
        <f aca="false">"Q"&amp;ROUNDUP(C505/3,0)</f>
        <v>Q2</v>
      </c>
      <c r="F505" s="10" t="str">
        <f aca="false">TEXT(A505,"ddd")</f>
        <v>Sun</v>
      </c>
      <c r="G505" s="10" t="str">
        <f aca="false">IF(WEEKDAY(A505,2)&gt;5,"Yes","No")</f>
        <v>Yes</v>
      </c>
      <c r="H505" s="10"/>
    </row>
    <row r="506" customFormat="false" ht="15" hidden="false" customHeight="true" outlineLevel="0" collapsed="false">
      <c r="A506" s="11" t="n">
        <v>45796</v>
      </c>
      <c r="B506" s="10" t="n">
        <f aca="false">YEAR(A506)</f>
        <v>2025</v>
      </c>
      <c r="C506" s="10" t="n">
        <f aca="false">MONTH(A506)</f>
        <v>5</v>
      </c>
      <c r="D506" s="10" t="str">
        <f aca="false">TEXT(A506,"mmm")</f>
        <v>May</v>
      </c>
      <c r="E506" s="10" t="str">
        <f aca="false">"Q"&amp;ROUNDUP(C506/3,0)</f>
        <v>Q2</v>
      </c>
      <c r="F506" s="10" t="str">
        <f aca="false">TEXT(A506,"ddd")</f>
        <v>Mon</v>
      </c>
      <c r="G506" s="10" t="str">
        <f aca="false">IF(WEEKDAY(A506,2)&gt;5,"Yes","No")</f>
        <v>No</v>
      </c>
      <c r="H506" s="10"/>
    </row>
    <row r="507" customFormat="false" ht="15" hidden="false" customHeight="true" outlineLevel="0" collapsed="false">
      <c r="A507" s="11" t="n">
        <v>45797</v>
      </c>
      <c r="B507" s="10" t="n">
        <f aca="false">YEAR(A507)</f>
        <v>2025</v>
      </c>
      <c r="C507" s="10" t="n">
        <f aca="false">MONTH(A507)</f>
        <v>5</v>
      </c>
      <c r="D507" s="10" t="str">
        <f aca="false">TEXT(A507,"mmm")</f>
        <v>May</v>
      </c>
      <c r="E507" s="10" t="str">
        <f aca="false">"Q"&amp;ROUNDUP(C507/3,0)</f>
        <v>Q2</v>
      </c>
      <c r="F507" s="10" t="str">
        <f aca="false">TEXT(A507,"ddd")</f>
        <v>Tue</v>
      </c>
      <c r="G507" s="10" t="str">
        <f aca="false">IF(WEEKDAY(A507,2)&gt;5,"Yes","No")</f>
        <v>No</v>
      </c>
      <c r="H507" s="10"/>
    </row>
    <row r="508" customFormat="false" ht="15" hidden="false" customHeight="true" outlineLevel="0" collapsed="false">
      <c r="A508" s="11" t="n">
        <v>45798</v>
      </c>
      <c r="B508" s="10" t="n">
        <f aca="false">YEAR(A508)</f>
        <v>2025</v>
      </c>
      <c r="C508" s="10" t="n">
        <f aca="false">MONTH(A508)</f>
        <v>5</v>
      </c>
      <c r="D508" s="10" t="str">
        <f aca="false">TEXT(A508,"mmm")</f>
        <v>May</v>
      </c>
      <c r="E508" s="10" t="str">
        <f aca="false">"Q"&amp;ROUNDUP(C508/3,0)</f>
        <v>Q2</v>
      </c>
      <c r="F508" s="10" t="str">
        <f aca="false">TEXT(A508,"ddd")</f>
        <v>Wed</v>
      </c>
      <c r="G508" s="10" t="str">
        <f aca="false">IF(WEEKDAY(A508,2)&gt;5,"Yes","No")</f>
        <v>No</v>
      </c>
      <c r="H508" s="10"/>
    </row>
    <row r="509" customFormat="false" ht="15" hidden="false" customHeight="true" outlineLevel="0" collapsed="false">
      <c r="A509" s="11" t="n">
        <v>45799</v>
      </c>
      <c r="B509" s="10" t="n">
        <f aca="false">YEAR(A509)</f>
        <v>2025</v>
      </c>
      <c r="C509" s="10" t="n">
        <f aca="false">MONTH(A509)</f>
        <v>5</v>
      </c>
      <c r="D509" s="10" t="str">
        <f aca="false">TEXT(A509,"mmm")</f>
        <v>May</v>
      </c>
      <c r="E509" s="10" t="str">
        <f aca="false">"Q"&amp;ROUNDUP(C509/3,0)</f>
        <v>Q2</v>
      </c>
      <c r="F509" s="10" t="str">
        <f aca="false">TEXT(A509,"ddd")</f>
        <v>Thu</v>
      </c>
      <c r="G509" s="10" t="str">
        <f aca="false">IF(WEEKDAY(A509,2)&gt;5,"Yes","No")</f>
        <v>No</v>
      </c>
      <c r="H509" s="10"/>
    </row>
    <row r="510" customFormat="false" ht="15" hidden="false" customHeight="true" outlineLevel="0" collapsed="false">
      <c r="A510" s="11" t="n">
        <v>45800</v>
      </c>
      <c r="B510" s="10" t="n">
        <f aca="false">YEAR(A510)</f>
        <v>2025</v>
      </c>
      <c r="C510" s="10" t="n">
        <f aca="false">MONTH(A510)</f>
        <v>5</v>
      </c>
      <c r="D510" s="10" t="str">
        <f aca="false">TEXT(A510,"mmm")</f>
        <v>May</v>
      </c>
      <c r="E510" s="10" t="str">
        <f aca="false">"Q"&amp;ROUNDUP(C510/3,0)</f>
        <v>Q2</v>
      </c>
      <c r="F510" s="10" t="str">
        <f aca="false">TEXT(A510,"ddd")</f>
        <v>Fri</v>
      </c>
      <c r="G510" s="10" t="str">
        <f aca="false">IF(WEEKDAY(A510,2)&gt;5,"Yes","No")</f>
        <v>No</v>
      </c>
      <c r="H510" s="10"/>
    </row>
    <row r="511" customFormat="false" ht="15" hidden="false" customHeight="true" outlineLevel="0" collapsed="false">
      <c r="A511" s="11" t="n">
        <v>45801</v>
      </c>
      <c r="B511" s="10" t="n">
        <f aca="false">YEAR(A511)</f>
        <v>2025</v>
      </c>
      <c r="C511" s="10" t="n">
        <f aca="false">MONTH(A511)</f>
        <v>5</v>
      </c>
      <c r="D511" s="10" t="str">
        <f aca="false">TEXT(A511,"mmm")</f>
        <v>May</v>
      </c>
      <c r="E511" s="10" t="str">
        <f aca="false">"Q"&amp;ROUNDUP(C511/3,0)</f>
        <v>Q2</v>
      </c>
      <c r="F511" s="10" t="str">
        <f aca="false">TEXT(A511,"ddd")</f>
        <v>Sat</v>
      </c>
      <c r="G511" s="10" t="str">
        <f aca="false">IF(WEEKDAY(A511,2)&gt;5,"Yes","No")</f>
        <v>Yes</v>
      </c>
      <c r="H511" s="10"/>
    </row>
    <row r="512" customFormat="false" ht="15" hidden="false" customHeight="true" outlineLevel="0" collapsed="false">
      <c r="A512" s="11" t="n">
        <v>45802</v>
      </c>
      <c r="B512" s="10" t="n">
        <f aca="false">YEAR(A512)</f>
        <v>2025</v>
      </c>
      <c r="C512" s="10" t="n">
        <f aca="false">MONTH(A512)</f>
        <v>5</v>
      </c>
      <c r="D512" s="10" t="str">
        <f aca="false">TEXT(A512,"mmm")</f>
        <v>May</v>
      </c>
      <c r="E512" s="10" t="str">
        <f aca="false">"Q"&amp;ROUNDUP(C512/3,0)</f>
        <v>Q2</v>
      </c>
      <c r="F512" s="10" t="str">
        <f aca="false">TEXT(A512,"ddd")</f>
        <v>Sun</v>
      </c>
      <c r="G512" s="10" t="str">
        <f aca="false">IF(WEEKDAY(A512,2)&gt;5,"Yes","No")</f>
        <v>Yes</v>
      </c>
      <c r="H512" s="10"/>
    </row>
    <row r="513" customFormat="false" ht="15" hidden="false" customHeight="true" outlineLevel="0" collapsed="false">
      <c r="A513" s="11" t="n">
        <v>45803</v>
      </c>
      <c r="B513" s="10" t="n">
        <f aca="false">YEAR(A513)</f>
        <v>2025</v>
      </c>
      <c r="C513" s="10" t="n">
        <f aca="false">MONTH(A513)</f>
        <v>5</v>
      </c>
      <c r="D513" s="10" t="str">
        <f aca="false">TEXT(A513,"mmm")</f>
        <v>May</v>
      </c>
      <c r="E513" s="10" t="str">
        <f aca="false">"Q"&amp;ROUNDUP(C513/3,0)</f>
        <v>Q2</v>
      </c>
      <c r="F513" s="10" t="str">
        <f aca="false">TEXT(A513,"ddd")</f>
        <v>Mon</v>
      </c>
      <c r="G513" s="10" t="str">
        <f aca="false">IF(WEEKDAY(A513,2)&gt;5,"Yes","No")</f>
        <v>No</v>
      </c>
      <c r="H513" s="10"/>
    </row>
    <row r="514" customFormat="false" ht="15" hidden="false" customHeight="true" outlineLevel="0" collapsed="false">
      <c r="A514" s="11" t="n">
        <v>45804</v>
      </c>
      <c r="B514" s="10" t="n">
        <f aca="false">YEAR(A514)</f>
        <v>2025</v>
      </c>
      <c r="C514" s="10" t="n">
        <f aca="false">MONTH(A514)</f>
        <v>5</v>
      </c>
      <c r="D514" s="10" t="str">
        <f aca="false">TEXT(A514,"mmm")</f>
        <v>May</v>
      </c>
      <c r="E514" s="10" t="str">
        <f aca="false">"Q"&amp;ROUNDUP(C514/3,0)</f>
        <v>Q2</v>
      </c>
      <c r="F514" s="10" t="str">
        <f aca="false">TEXT(A514,"ddd")</f>
        <v>Tue</v>
      </c>
      <c r="G514" s="10" t="str">
        <f aca="false">IF(WEEKDAY(A514,2)&gt;5,"Yes","No")</f>
        <v>No</v>
      </c>
      <c r="H514" s="10"/>
    </row>
    <row r="515" customFormat="false" ht="15" hidden="false" customHeight="true" outlineLevel="0" collapsed="false">
      <c r="A515" s="11" t="n">
        <v>45805</v>
      </c>
      <c r="B515" s="10" t="n">
        <f aca="false">YEAR(A515)</f>
        <v>2025</v>
      </c>
      <c r="C515" s="10" t="n">
        <f aca="false">MONTH(A515)</f>
        <v>5</v>
      </c>
      <c r="D515" s="10" t="str">
        <f aca="false">TEXT(A515,"mmm")</f>
        <v>May</v>
      </c>
      <c r="E515" s="10" t="str">
        <f aca="false">"Q"&amp;ROUNDUP(C515/3,0)</f>
        <v>Q2</v>
      </c>
      <c r="F515" s="10" t="str">
        <f aca="false">TEXT(A515,"ddd")</f>
        <v>Wed</v>
      </c>
      <c r="G515" s="10" t="str">
        <f aca="false">IF(WEEKDAY(A515,2)&gt;5,"Yes","No")</f>
        <v>No</v>
      </c>
      <c r="H515" s="10"/>
    </row>
    <row r="516" customFormat="false" ht="15" hidden="false" customHeight="true" outlineLevel="0" collapsed="false">
      <c r="A516" s="11" t="n">
        <v>45806</v>
      </c>
      <c r="B516" s="10" t="n">
        <f aca="false">YEAR(A516)</f>
        <v>2025</v>
      </c>
      <c r="C516" s="10" t="n">
        <f aca="false">MONTH(A516)</f>
        <v>5</v>
      </c>
      <c r="D516" s="10" t="str">
        <f aca="false">TEXT(A516,"mmm")</f>
        <v>May</v>
      </c>
      <c r="E516" s="10" t="str">
        <f aca="false">"Q"&amp;ROUNDUP(C516/3,0)</f>
        <v>Q2</v>
      </c>
      <c r="F516" s="10" t="str">
        <f aca="false">TEXT(A516,"ddd")</f>
        <v>Thu</v>
      </c>
      <c r="G516" s="10" t="str">
        <f aca="false">IF(WEEKDAY(A516,2)&gt;5,"Yes","No")</f>
        <v>No</v>
      </c>
      <c r="H516" s="10"/>
    </row>
    <row r="517" customFormat="false" ht="15" hidden="false" customHeight="true" outlineLevel="0" collapsed="false">
      <c r="A517" s="11" t="n">
        <v>45807</v>
      </c>
      <c r="B517" s="10" t="n">
        <f aca="false">YEAR(A517)</f>
        <v>2025</v>
      </c>
      <c r="C517" s="10" t="n">
        <f aca="false">MONTH(A517)</f>
        <v>5</v>
      </c>
      <c r="D517" s="10" t="str">
        <f aca="false">TEXT(A517,"mmm")</f>
        <v>May</v>
      </c>
      <c r="E517" s="10" t="str">
        <f aca="false">"Q"&amp;ROUNDUP(C517/3,0)</f>
        <v>Q2</v>
      </c>
      <c r="F517" s="10" t="str">
        <f aca="false">TEXT(A517,"ddd")</f>
        <v>Fri</v>
      </c>
      <c r="G517" s="10" t="str">
        <f aca="false">IF(WEEKDAY(A517,2)&gt;5,"Yes","No")</f>
        <v>No</v>
      </c>
      <c r="H517" s="10"/>
    </row>
    <row r="518" customFormat="false" ht="15" hidden="false" customHeight="true" outlineLevel="0" collapsed="false">
      <c r="A518" s="11" t="n">
        <v>45808</v>
      </c>
      <c r="B518" s="10" t="n">
        <f aca="false">YEAR(A518)</f>
        <v>2025</v>
      </c>
      <c r="C518" s="10" t="n">
        <f aca="false">MONTH(A518)</f>
        <v>5</v>
      </c>
      <c r="D518" s="10" t="str">
        <f aca="false">TEXT(A518,"mmm")</f>
        <v>May</v>
      </c>
      <c r="E518" s="10" t="str">
        <f aca="false">"Q"&amp;ROUNDUP(C518/3,0)</f>
        <v>Q2</v>
      </c>
      <c r="F518" s="10" t="str">
        <f aca="false">TEXT(A518,"ddd")</f>
        <v>Sat</v>
      </c>
      <c r="G518" s="10" t="str">
        <f aca="false">IF(WEEKDAY(A518,2)&gt;5,"Yes","No")</f>
        <v>Yes</v>
      </c>
      <c r="H518" s="10"/>
    </row>
    <row r="519" customFormat="false" ht="15" hidden="false" customHeight="true" outlineLevel="0" collapsed="false">
      <c r="A519" s="11" t="n">
        <v>45809</v>
      </c>
      <c r="B519" s="10" t="n">
        <f aca="false">YEAR(A519)</f>
        <v>2025</v>
      </c>
      <c r="C519" s="10" t="n">
        <f aca="false">MONTH(A519)</f>
        <v>6</v>
      </c>
      <c r="D519" s="10" t="str">
        <f aca="false">TEXT(A519,"mmm")</f>
        <v>Jun</v>
      </c>
      <c r="E519" s="10" t="str">
        <f aca="false">"Q"&amp;ROUNDUP(C519/3,0)</f>
        <v>Q2</v>
      </c>
      <c r="F519" s="10" t="str">
        <f aca="false">TEXT(A519,"ddd")</f>
        <v>Sun</v>
      </c>
      <c r="G519" s="10" t="str">
        <f aca="false">IF(WEEKDAY(A519,2)&gt;5,"Yes","No")</f>
        <v>Yes</v>
      </c>
      <c r="H519" s="10"/>
    </row>
    <row r="520" customFormat="false" ht="15" hidden="false" customHeight="true" outlineLevel="0" collapsed="false">
      <c r="A520" s="11" t="n">
        <v>45810</v>
      </c>
      <c r="B520" s="10" t="n">
        <f aca="false">YEAR(A520)</f>
        <v>2025</v>
      </c>
      <c r="C520" s="10" t="n">
        <f aca="false">MONTH(A520)</f>
        <v>6</v>
      </c>
      <c r="D520" s="10" t="str">
        <f aca="false">TEXT(A520,"mmm")</f>
        <v>Jun</v>
      </c>
      <c r="E520" s="10" t="str">
        <f aca="false">"Q"&amp;ROUNDUP(C520/3,0)</f>
        <v>Q2</v>
      </c>
      <c r="F520" s="10" t="str">
        <f aca="false">TEXT(A520,"ddd")</f>
        <v>Mon</v>
      </c>
      <c r="G520" s="10" t="str">
        <f aca="false">IF(WEEKDAY(A520,2)&gt;5,"Yes","No")</f>
        <v>No</v>
      </c>
      <c r="H520" s="10"/>
    </row>
    <row r="521" customFormat="false" ht="15" hidden="false" customHeight="true" outlineLevel="0" collapsed="false">
      <c r="A521" s="11" t="n">
        <v>45811</v>
      </c>
      <c r="B521" s="10" t="n">
        <f aca="false">YEAR(A521)</f>
        <v>2025</v>
      </c>
      <c r="C521" s="10" t="n">
        <f aca="false">MONTH(A521)</f>
        <v>6</v>
      </c>
      <c r="D521" s="10" t="str">
        <f aca="false">TEXT(A521,"mmm")</f>
        <v>Jun</v>
      </c>
      <c r="E521" s="10" t="str">
        <f aca="false">"Q"&amp;ROUNDUP(C521/3,0)</f>
        <v>Q2</v>
      </c>
      <c r="F521" s="10" t="str">
        <f aca="false">TEXT(A521,"ddd")</f>
        <v>Tue</v>
      </c>
      <c r="G521" s="10" t="str">
        <f aca="false">IF(WEEKDAY(A521,2)&gt;5,"Yes","No")</f>
        <v>No</v>
      </c>
      <c r="H521" s="10"/>
    </row>
    <row r="522" customFormat="false" ht="15" hidden="false" customHeight="true" outlineLevel="0" collapsed="false">
      <c r="A522" s="11" t="n">
        <v>45812</v>
      </c>
      <c r="B522" s="10" t="n">
        <f aca="false">YEAR(A522)</f>
        <v>2025</v>
      </c>
      <c r="C522" s="10" t="n">
        <f aca="false">MONTH(A522)</f>
        <v>6</v>
      </c>
      <c r="D522" s="10" t="str">
        <f aca="false">TEXT(A522,"mmm")</f>
        <v>Jun</v>
      </c>
      <c r="E522" s="10" t="str">
        <f aca="false">"Q"&amp;ROUNDUP(C522/3,0)</f>
        <v>Q2</v>
      </c>
      <c r="F522" s="10" t="str">
        <f aca="false">TEXT(A522,"ddd")</f>
        <v>Wed</v>
      </c>
      <c r="G522" s="10" t="str">
        <f aca="false">IF(WEEKDAY(A522,2)&gt;5,"Yes","No")</f>
        <v>No</v>
      </c>
      <c r="H522" s="10"/>
    </row>
    <row r="523" customFormat="false" ht="15" hidden="false" customHeight="true" outlineLevel="0" collapsed="false">
      <c r="A523" s="11" t="n">
        <v>45813</v>
      </c>
      <c r="B523" s="10" t="n">
        <f aca="false">YEAR(A523)</f>
        <v>2025</v>
      </c>
      <c r="C523" s="10" t="n">
        <f aca="false">MONTH(A523)</f>
        <v>6</v>
      </c>
      <c r="D523" s="10" t="str">
        <f aca="false">TEXT(A523,"mmm")</f>
        <v>Jun</v>
      </c>
      <c r="E523" s="10" t="str">
        <f aca="false">"Q"&amp;ROUNDUP(C523/3,0)</f>
        <v>Q2</v>
      </c>
      <c r="F523" s="10" t="str">
        <f aca="false">TEXT(A523,"ddd")</f>
        <v>Thu</v>
      </c>
      <c r="G523" s="10" t="str">
        <f aca="false">IF(WEEKDAY(A523,2)&gt;5,"Yes","No")</f>
        <v>No</v>
      </c>
      <c r="H523" s="10"/>
    </row>
    <row r="524" customFormat="false" ht="15" hidden="false" customHeight="true" outlineLevel="0" collapsed="false">
      <c r="A524" s="11" t="n">
        <v>45814</v>
      </c>
      <c r="B524" s="10" t="n">
        <f aca="false">YEAR(A524)</f>
        <v>2025</v>
      </c>
      <c r="C524" s="10" t="n">
        <f aca="false">MONTH(A524)</f>
        <v>6</v>
      </c>
      <c r="D524" s="10" t="str">
        <f aca="false">TEXT(A524,"mmm")</f>
        <v>Jun</v>
      </c>
      <c r="E524" s="10" t="str">
        <f aca="false">"Q"&amp;ROUNDUP(C524/3,0)</f>
        <v>Q2</v>
      </c>
      <c r="F524" s="10" t="str">
        <f aca="false">TEXT(A524,"ddd")</f>
        <v>Fri</v>
      </c>
      <c r="G524" s="10" t="str">
        <f aca="false">IF(WEEKDAY(A524,2)&gt;5,"Yes","No")</f>
        <v>No</v>
      </c>
      <c r="H524" s="10"/>
    </row>
    <row r="525" customFormat="false" ht="15" hidden="false" customHeight="true" outlineLevel="0" collapsed="false">
      <c r="A525" s="11" t="n">
        <v>45815</v>
      </c>
      <c r="B525" s="10" t="n">
        <f aca="false">YEAR(A525)</f>
        <v>2025</v>
      </c>
      <c r="C525" s="10" t="n">
        <f aca="false">MONTH(A525)</f>
        <v>6</v>
      </c>
      <c r="D525" s="10" t="str">
        <f aca="false">TEXT(A525,"mmm")</f>
        <v>Jun</v>
      </c>
      <c r="E525" s="10" t="str">
        <f aca="false">"Q"&amp;ROUNDUP(C525/3,0)</f>
        <v>Q2</v>
      </c>
      <c r="F525" s="10" t="str">
        <f aca="false">TEXT(A525,"ddd")</f>
        <v>Sat</v>
      </c>
      <c r="G525" s="10" t="str">
        <f aca="false">IF(WEEKDAY(A525,2)&gt;5,"Yes","No")</f>
        <v>Yes</v>
      </c>
      <c r="H525" s="10"/>
    </row>
    <row r="526" customFormat="false" ht="15" hidden="false" customHeight="true" outlineLevel="0" collapsed="false">
      <c r="A526" s="11" t="n">
        <v>45816</v>
      </c>
      <c r="B526" s="10" t="n">
        <f aca="false">YEAR(A526)</f>
        <v>2025</v>
      </c>
      <c r="C526" s="10" t="n">
        <f aca="false">MONTH(A526)</f>
        <v>6</v>
      </c>
      <c r="D526" s="10" t="str">
        <f aca="false">TEXT(A526,"mmm")</f>
        <v>Jun</v>
      </c>
      <c r="E526" s="10" t="str">
        <f aca="false">"Q"&amp;ROUNDUP(C526/3,0)</f>
        <v>Q2</v>
      </c>
      <c r="F526" s="10" t="str">
        <f aca="false">TEXT(A526,"ddd")</f>
        <v>Sun</v>
      </c>
      <c r="G526" s="10" t="str">
        <f aca="false">IF(WEEKDAY(A526,2)&gt;5,"Yes","No")</f>
        <v>Yes</v>
      </c>
      <c r="H526" s="10"/>
    </row>
    <row r="527" customFormat="false" ht="15" hidden="false" customHeight="true" outlineLevel="0" collapsed="false">
      <c r="A527" s="11" t="n">
        <v>45817</v>
      </c>
      <c r="B527" s="10" t="n">
        <f aca="false">YEAR(A527)</f>
        <v>2025</v>
      </c>
      <c r="C527" s="10" t="n">
        <f aca="false">MONTH(A527)</f>
        <v>6</v>
      </c>
      <c r="D527" s="10" t="str">
        <f aca="false">TEXT(A527,"mmm")</f>
        <v>Jun</v>
      </c>
      <c r="E527" s="10" t="str">
        <f aca="false">"Q"&amp;ROUNDUP(C527/3,0)</f>
        <v>Q2</v>
      </c>
      <c r="F527" s="10" t="str">
        <f aca="false">TEXT(A527,"ddd")</f>
        <v>Mon</v>
      </c>
      <c r="G527" s="10" t="str">
        <f aca="false">IF(WEEKDAY(A527,2)&gt;5,"Yes","No")</f>
        <v>No</v>
      </c>
      <c r="H527" s="10"/>
    </row>
    <row r="528" customFormat="false" ht="15" hidden="false" customHeight="true" outlineLevel="0" collapsed="false">
      <c r="A528" s="11" t="n">
        <v>45818</v>
      </c>
      <c r="B528" s="10" t="n">
        <f aca="false">YEAR(A528)</f>
        <v>2025</v>
      </c>
      <c r="C528" s="10" t="n">
        <f aca="false">MONTH(A528)</f>
        <v>6</v>
      </c>
      <c r="D528" s="10" t="str">
        <f aca="false">TEXT(A528,"mmm")</f>
        <v>Jun</v>
      </c>
      <c r="E528" s="10" t="str">
        <f aca="false">"Q"&amp;ROUNDUP(C528/3,0)</f>
        <v>Q2</v>
      </c>
      <c r="F528" s="10" t="str">
        <f aca="false">TEXT(A528,"ddd")</f>
        <v>Tue</v>
      </c>
      <c r="G528" s="10" t="str">
        <f aca="false">IF(WEEKDAY(A528,2)&gt;5,"Yes","No")</f>
        <v>No</v>
      </c>
      <c r="H528" s="10"/>
    </row>
    <row r="529" customFormat="false" ht="15" hidden="false" customHeight="true" outlineLevel="0" collapsed="false">
      <c r="A529" s="11" t="n">
        <v>45819</v>
      </c>
      <c r="B529" s="10" t="n">
        <f aca="false">YEAR(A529)</f>
        <v>2025</v>
      </c>
      <c r="C529" s="10" t="n">
        <f aca="false">MONTH(A529)</f>
        <v>6</v>
      </c>
      <c r="D529" s="10" t="str">
        <f aca="false">TEXT(A529,"mmm")</f>
        <v>Jun</v>
      </c>
      <c r="E529" s="10" t="str">
        <f aca="false">"Q"&amp;ROUNDUP(C529/3,0)</f>
        <v>Q2</v>
      </c>
      <c r="F529" s="10" t="str">
        <f aca="false">TEXT(A529,"ddd")</f>
        <v>Wed</v>
      </c>
      <c r="G529" s="10" t="str">
        <f aca="false">IF(WEEKDAY(A529,2)&gt;5,"Yes","No")</f>
        <v>No</v>
      </c>
      <c r="H529" s="10"/>
    </row>
    <row r="530" customFormat="false" ht="15" hidden="false" customHeight="true" outlineLevel="0" collapsed="false">
      <c r="A530" s="11" t="n">
        <v>45820</v>
      </c>
      <c r="B530" s="10" t="n">
        <f aca="false">YEAR(A530)</f>
        <v>2025</v>
      </c>
      <c r="C530" s="10" t="n">
        <f aca="false">MONTH(A530)</f>
        <v>6</v>
      </c>
      <c r="D530" s="10" t="str">
        <f aca="false">TEXT(A530,"mmm")</f>
        <v>Jun</v>
      </c>
      <c r="E530" s="10" t="str">
        <f aca="false">"Q"&amp;ROUNDUP(C530/3,0)</f>
        <v>Q2</v>
      </c>
      <c r="F530" s="10" t="str">
        <f aca="false">TEXT(A530,"ddd")</f>
        <v>Thu</v>
      </c>
      <c r="G530" s="10" t="str">
        <f aca="false">IF(WEEKDAY(A530,2)&gt;5,"Yes","No")</f>
        <v>No</v>
      </c>
      <c r="H530" s="10"/>
    </row>
    <row r="531" customFormat="false" ht="15" hidden="false" customHeight="true" outlineLevel="0" collapsed="false">
      <c r="A531" s="11" t="n">
        <v>45821</v>
      </c>
      <c r="B531" s="10" t="n">
        <f aca="false">YEAR(A531)</f>
        <v>2025</v>
      </c>
      <c r="C531" s="10" t="n">
        <f aca="false">MONTH(A531)</f>
        <v>6</v>
      </c>
      <c r="D531" s="10" t="str">
        <f aca="false">TEXT(A531,"mmm")</f>
        <v>Jun</v>
      </c>
      <c r="E531" s="10" t="str">
        <f aca="false">"Q"&amp;ROUNDUP(C531/3,0)</f>
        <v>Q2</v>
      </c>
      <c r="F531" s="10" t="str">
        <f aca="false">TEXT(A531,"ddd")</f>
        <v>Fri</v>
      </c>
      <c r="G531" s="10" t="str">
        <f aca="false">IF(WEEKDAY(A531,2)&gt;5,"Yes","No")</f>
        <v>No</v>
      </c>
      <c r="H531" s="10"/>
    </row>
    <row r="532" customFormat="false" ht="15" hidden="false" customHeight="true" outlineLevel="0" collapsed="false">
      <c r="A532" s="11" t="n">
        <v>45822</v>
      </c>
      <c r="B532" s="10" t="n">
        <f aca="false">YEAR(A532)</f>
        <v>2025</v>
      </c>
      <c r="C532" s="10" t="n">
        <f aca="false">MONTH(A532)</f>
        <v>6</v>
      </c>
      <c r="D532" s="10" t="str">
        <f aca="false">TEXT(A532,"mmm")</f>
        <v>Jun</v>
      </c>
      <c r="E532" s="10" t="str">
        <f aca="false">"Q"&amp;ROUNDUP(C532/3,0)</f>
        <v>Q2</v>
      </c>
      <c r="F532" s="10" t="str">
        <f aca="false">TEXT(A532,"ddd")</f>
        <v>Sat</v>
      </c>
      <c r="G532" s="10" t="str">
        <f aca="false">IF(WEEKDAY(A532,2)&gt;5,"Yes","No")</f>
        <v>Yes</v>
      </c>
      <c r="H532" s="10"/>
    </row>
    <row r="533" customFormat="false" ht="15" hidden="false" customHeight="true" outlineLevel="0" collapsed="false">
      <c r="A533" s="11" t="n">
        <v>45823</v>
      </c>
      <c r="B533" s="10" t="n">
        <f aca="false">YEAR(A533)</f>
        <v>2025</v>
      </c>
      <c r="C533" s="10" t="n">
        <f aca="false">MONTH(A533)</f>
        <v>6</v>
      </c>
      <c r="D533" s="10" t="str">
        <f aca="false">TEXT(A533,"mmm")</f>
        <v>Jun</v>
      </c>
      <c r="E533" s="10" t="str">
        <f aca="false">"Q"&amp;ROUNDUP(C533/3,0)</f>
        <v>Q2</v>
      </c>
      <c r="F533" s="10" t="str">
        <f aca="false">TEXT(A533,"ddd")</f>
        <v>Sun</v>
      </c>
      <c r="G533" s="10" t="str">
        <f aca="false">IF(WEEKDAY(A533,2)&gt;5,"Yes","No")</f>
        <v>Yes</v>
      </c>
      <c r="H533" s="10"/>
    </row>
    <row r="534" customFormat="false" ht="15" hidden="false" customHeight="true" outlineLevel="0" collapsed="false">
      <c r="A534" s="11" t="n">
        <v>45824</v>
      </c>
      <c r="B534" s="10" t="n">
        <f aca="false">YEAR(A534)</f>
        <v>2025</v>
      </c>
      <c r="C534" s="10" t="n">
        <f aca="false">MONTH(A534)</f>
        <v>6</v>
      </c>
      <c r="D534" s="10" t="str">
        <f aca="false">TEXT(A534,"mmm")</f>
        <v>Jun</v>
      </c>
      <c r="E534" s="10" t="str">
        <f aca="false">"Q"&amp;ROUNDUP(C534/3,0)</f>
        <v>Q2</v>
      </c>
      <c r="F534" s="10" t="str">
        <f aca="false">TEXT(A534,"ddd")</f>
        <v>Mon</v>
      </c>
      <c r="G534" s="10" t="str">
        <f aca="false">IF(WEEKDAY(A534,2)&gt;5,"Yes","No")</f>
        <v>No</v>
      </c>
      <c r="H534" s="10" t="s">
        <v>998</v>
      </c>
    </row>
    <row r="535" customFormat="false" ht="15" hidden="false" customHeight="true" outlineLevel="0" collapsed="false">
      <c r="A535" s="11" t="n">
        <v>45825</v>
      </c>
      <c r="B535" s="10" t="n">
        <f aca="false">YEAR(A535)</f>
        <v>2025</v>
      </c>
      <c r="C535" s="10" t="n">
        <f aca="false">MONTH(A535)</f>
        <v>6</v>
      </c>
      <c r="D535" s="10" t="str">
        <f aca="false">TEXT(A535,"mmm")</f>
        <v>Jun</v>
      </c>
      <c r="E535" s="10" t="str">
        <f aca="false">"Q"&amp;ROUNDUP(C535/3,0)</f>
        <v>Q2</v>
      </c>
      <c r="F535" s="10" t="str">
        <f aca="false">TEXT(A535,"ddd")</f>
        <v>Tue</v>
      </c>
      <c r="G535" s="10" t="str">
        <f aca="false">IF(WEEKDAY(A535,2)&gt;5,"Yes","No")</f>
        <v>No</v>
      </c>
      <c r="H535" s="10"/>
    </row>
    <row r="536" customFormat="false" ht="15" hidden="false" customHeight="true" outlineLevel="0" collapsed="false">
      <c r="A536" s="11" t="n">
        <v>45826</v>
      </c>
      <c r="B536" s="10" t="n">
        <f aca="false">YEAR(A536)</f>
        <v>2025</v>
      </c>
      <c r="C536" s="10" t="n">
        <f aca="false">MONTH(A536)</f>
        <v>6</v>
      </c>
      <c r="D536" s="10" t="str">
        <f aca="false">TEXT(A536,"mmm")</f>
        <v>Jun</v>
      </c>
      <c r="E536" s="10" t="str">
        <f aca="false">"Q"&amp;ROUNDUP(C536/3,0)</f>
        <v>Q2</v>
      </c>
      <c r="F536" s="10" t="str">
        <f aca="false">TEXT(A536,"ddd")</f>
        <v>Wed</v>
      </c>
      <c r="G536" s="10" t="str">
        <f aca="false">IF(WEEKDAY(A536,2)&gt;5,"Yes","No")</f>
        <v>No</v>
      </c>
      <c r="H536" s="10"/>
    </row>
    <row r="537" customFormat="false" ht="15" hidden="false" customHeight="true" outlineLevel="0" collapsed="false">
      <c r="A537" s="11" t="n">
        <v>45827</v>
      </c>
      <c r="B537" s="10" t="n">
        <f aca="false">YEAR(A537)</f>
        <v>2025</v>
      </c>
      <c r="C537" s="10" t="n">
        <f aca="false">MONTH(A537)</f>
        <v>6</v>
      </c>
      <c r="D537" s="10" t="str">
        <f aca="false">TEXT(A537,"mmm")</f>
        <v>Jun</v>
      </c>
      <c r="E537" s="10" t="str">
        <f aca="false">"Q"&amp;ROUNDUP(C537/3,0)</f>
        <v>Q2</v>
      </c>
      <c r="F537" s="10" t="str">
        <f aca="false">TEXT(A537,"ddd")</f>
        <v>Thu</v>
      </c>
      <c r="G537" s="10" t="str">
        <f aca="false">IF(WEEKDAY(A537,2)&gt;5,"Yes","No")</f>
        <v>No</v>
      </c>
      <c r="H537" s="10"/>
    </row>
    <row r="538" customFormat="false" ht="15" hidden="false" customHeight="true" outlineLevel="0" collapsed="false">
      <c r="A538" s="11" t="n">
        <v>45828</v>
      </c>
      <c r="B538" s="10" t="n">
        <f aca="false">YEAR(A538)</f>
        <v>2025</v>
      </c>
      <c r="C538" s="10" t="n">
        <f aca="false">MONTH(A538)</f>
        <v>6</v>
      </c>
      <c r="D538" s="10" t="str">
        <f aca="false">TEXT(A538,"mmm")</f>
        <v>Jun</v>
      </c>
      <c r="E538" s="10" t="str">
        <f aca="false">"Q"&amp;ROUNDUP(C538/3,0)</f>
        <v>Q2</v>
      </c>
      <c r="F538" s="10" t="str">
        <f aca="false">TEXT(A538,"ddd")</f>
        <v>Fri</v>
      </c>
      <c r="G538" s="10" t="str">
        <f aca="false">IF(WEEKDAY(A538,2)&gt;5,"Yes","No")</f>
        <v>No</v>
      </c>
      <c r="H538" s="10"/>
    </row>
    <row r="539" customFormat="false" ht="15" hidden="false" customHeight="true" outlineLevel="0" collapsed="false">
      <c r="A539" s="11" t="n">
        <v>45829</v>
      </c>
      <c r="B539" s="10" t="n">
        <f aca="false">YEAR(A539)</f>
        <v>2025</v>
      </c>
      <c r="C539" s="10" t="n">
        <f aca="false">MONTH(A539)</f>
        <v>6</v>
      </c>
      <c r="D539" s="10" t="str">
        <f aca="false">TEXT(A539,"mmm")</f>
        <v>Jun</v>
      </c>
      <c r="E539" s="10" t="str">
        <f aca="false">"Q"&amp;ROUNDUP(C539/3,0)</f>
        <v>Q2</v>
      </c>
      <c r="F539" s="10" t="str">
        <f aca="false">TEXT(A539,"ddd")</f>
        <v>Sat</v>
      </c>
      <c r="G539" s="10" t="str">
        <f aca="false">IF(WEEKDAY(A539,2)&gt;5,"Yes","No")</f>
        <v>Yes</v>
      </c>
      <c r="H539" s="10"/>
    </row>
    <row r="540" customFormat="false" ht="15" hidden="false" customHeight="true" outlineLevel="0" collapsed="false">
      <c r="A540" s="11" t="n">
        <v>45830</v>
      </c>
      <c r="B540" s="10" t="n">
        <f aca="false">YEAR(A540)</f>
        <v>2025</v>
      </c>
      <c r="C540" s="10" t="n">
        <f aca="false">MONTH(A540)</f>
        <v>6</v>
      </c>
      <c r="D540" s="10" t="str">
        <f aca="false">TEXT(A540,"mmm")</f>
        <v>Jun</v>
      </c>
      <c r="E540" s="10" t="str">
        <f aca="false">"Q"&amp;ROUNDUP(C540/3,0)</f>
        <v>Q2</v>
      </c>
      <c r="F540" s="10" t="str">
        <f aca="false">TEXT(A540,"ddd")</f>
        <v>Sun</v>
      </c>
      <c r="G540" s="10" t="str">
        <f aca="false">IF(WEEKDAY(A540,2)&gt;5,"Yes","No")</f>
        <v>Yes</v>
      </c>
      <c r="H540" s="10"/>
    </row>
    <row r="541" customFormat="false" ht="15" hidden="false" customHeight="true" outlineLevel="0" collapsed="false">
      <c r="A541" s="11" t="n">
        <v>45831</v>
      </c>
      <c r="B541" s="10" t="n">
        <f aca="false">YEAR(A541)</f>
        <v>2025</v>
      </c>
      <c r="C541" s="10" t="n">
        <f aca="false">MONTH(A541)</f>
        <v>6</v>
      </c>
      <c r="D541" s="10" t="str">
        <f aca="false">TEXT(A541,"mmm")</f>
        <v>Jun</v>
      </c>
      <c r="E541" s="10" t="str">
        <f aca="false">"Q"&amp;ROUNDUP(C541/3,0)</f>
        <v>Q2</v>
      </c>
      <c r="F541" s="10" t="str">
        <f aca="false">TEXT(A541,"ddd")</f>
        <v>Mon</v>
      </c>
      <c r="G541" s="10" t="str">
        <f aca="false">IF(WEEKDAY(A541,2)&gt;5,"Yes","No")</f>
        <v>No</v>
      </c>
      <c r="H541" s="10"/>
    </row>
    <row r="542" customFormat="false" ht="15" hidden="false" customHeight="true" outlineLevel="0" collapsed="false">
      <c r="A542" s="11" t="n">
        <v>45832</v>
      </c>
      <c r="B542" s="10" t="n">
        <f aca="false">YEAR(A542)</f>
        <v>2025</v>
      </c>
      <c r="C542" s="10" t="n">
        <f aca="false">MONTH(A542)</f>
        <v>6</v>
      </c>
      <c r="D542" s="10" t="str">
        <f aca="false">TEXT(A542,"mmm")</f>
        <v>Jun</v>
      </c>
      <c r="E542" s="10" t="str">
        <f aca="false">"Q"&amp;ROUNDUP(C542/3,0)</f>
        <v>Q2</v>
      </c>
      <c r="F542" s="10" t="str">
        <f aca="false">TEXT(A542,"ddd")</f>
        <v>Tue</v>
      </c>
      <c r="G542" s="10" t="str">
        <f aca="false">IF(WEEKDAY(A542,2)&gt;5,"Yes","No")</f>
        <v>No</v>
      </c>
      <c r="H542" s="10"/>
    </row>
    <row r="543" customFormat="false" ht="15" hidden="false" customHeight="true" outlineLevel="0" collapsed="false">
      <c r="A543" s="11" t="n">
        <v>45833</v>
      </c>
      <c r="B543" s="10" t="n">
        <f aca="false">YEAR(A543)</f>
        <v>2025</v>
      </c>
      <c r="C543" s="10" t="n">
        <f aca="false">MONTH(A543)</f>
        <v>6</v>
      </c>
      <c r="D543" s="10" t="str">
        <f aca="false">TEXT(A543,"mmm")</f>
        <v>Jun</v>
      </c>
      <c r="E543" s="10" t="str">
        <f aca="false">"Q"&amp;ROUNDUP(C543/3,0)</f>
        <v>Q2</v>
      </c>
      <c r="F543" s="10" t="str">
        <f aca="false">TEXT(A543,"ddd")</f>
        <v>Wed</v>
      </c>
      <c r="G543" s="10" t="str">
        <f aca="false">IF(WEEKDAY(A543,2)&gt;5,"Yes","No")</f>
        <v>No</v>
      </c>
      <c r="H543" s="10"/>
    </row>
    <row r="544" customFormat="false" ht="15" hidden="false" customHeight="true" outlineLevel="0" collapsed="false">
      <c r="A544" s="11" t="n">
        <v>45834</v>
      </c>
      <c r="B544" s="10" t="n">
        <f aca="false">YEAR(A544)</f>
        <v>2025</v>
      </c>
      <c r="C544" s="10" t="n">
        <f aca="false">MONTH(A544)</f>
        <v>6</v>
      </c>
      <c r="D544" s="10" t="str">
        <f aca="false">TEXT(A544,"mmm")</f>
        <v>Jun</v>
      </c>
      <c r="E544" s="10" t="str">
        <f aca="false">"Q"&amp;ROUNDUP(C544/3,0)</f>
        <v>Q2</v>
      </c>
      <c r="F544" s="10" t="str">
        <f aca="false">TEXT(A544,"ddd")</f>
        <v>Thu</v>
      </c>
      <c r="G544" s="10" t="str">
        <f aca="false">IF(WEEKDAY(A544,2)&gt;5,"Yes","No")</f>
        <v>No</v>
      </c>
      <c r="H544" s="10"/>
    </row>
    <row r="545" customFormat="false" ht="15" hidden="false" customHeight="true" outlineLevel="0" collapsed="false">
      <c r="A545" s="11" t="n">
        <v>45835</v>
      </c>
      <c r="B545" s="10" t="n">
        <f aca="false">YEAR(A545)</f>
        <v>2025</v>
      </c>
      <c r="C545" s="10" t="n">
        <f aca="false">MONTH(A545)</f>
        <v>6</v>
      </c>
      <c r="D545" s="10" t="str">
        <f aca="false">TEXT(A545,"mmm")</f>
        <v>Jun</v>
      </c>
      <c r="E545" s="10" t="str">
        <f aca="false">"Q"&amp;ROUNDUP(C545/3,0)</f>
        <v>Q2</v>
      </c>
      <c r="F545" s="10" t="str">
        <f aca="false">TEXT(A545,"ddd")</f>
        <v>Fri</v>
      </c>
      <c r="G545" s="10" t="str">
        <f aca="false">IF(WEEKDAY(A545,2)&gt;5,"Yes","No")</f>
        <v>No</v>
      </c>
      <c r="H545" s="10"/>
    </row>
    <row r="546" customFormat="false" ht="15" hidden="false" customHeight="true" outlineLevel="0" collapsed="false">
      <c r="A546" s="11" t="n">
        <v>45836</v>
      </c>
      <c r="B546" s="10" t="n">
        <f aca="false">YEAR(A546)</f>
        <v>2025</v>
      </c>
      <c r="C546" s="10" t="n">
        <f aca="false">MONTH(A546)</f>
        <v>6</v>
      </c>
      <c r="D546" s="10" t="str">
        <f aca="false">TEXT(A546,"mmm")</f>
        <v>Jun</v>
      </c>
      <c r="E546" s="10" t="str">
        <f aca="false">"Q"&amp;ROUNDUP(C546/3,0)</f>
        <v>Q2</v>
      </c>
      <c r="F546" s="10" t="str">
        <f aca="false">TEXT(A546,"ddd")</f>
        <v>Sat</v>
      </c>
      <c r="G546" s="10" t="str">
        <f aca="false">IF(WEEKDAY(A546,2)&gt;5,"Yes","No")</f>
        <v>Yes</v>
      </c>
      <c r="H546" s="10"/>
    </row>
    <row r="547" customFormat="false" ht="15" hidden="false" customHeight="true" outlineLevel="0" collapsed="false">
      <c r="A547" s="11" t="n">
        <v>45837</v>
      </c>
      <c r="B547" s="10" t="n">
        <f aca="false">YEAR(A547)</f>
        <v>2025</v>
      </c>
      <c r="C547" s="10" t="n">
        <f aca="false">MONTH(A547)</f>
        <v>6</v>
      </c>
      <c r="D547" s="10" t="str">
        <f aca="false">TEXT(A547,"mmm")</f>
        <v>Jun</v>
      </c>
      <c r="E547" s="10" t="str">
        <f aca="false">"Q"&amp;ROUNDUP(C547/3,0)</f>
        <v>Q2</v>
      </c>
      <c r="F547" s="10" t="str">
        <f aca="false">TEXT(A547,"ddd")</f>
        <v>Sun</v>
      </c>
      <c r="G547" s="10" t="str">
        <f aca="false">IF(WEEKDAY(A547,2)&gt;5,"Yes","No")</f>
        <v>Yes</v>
      </c>
      <c r="H547" s="10"/>
    </row>
    <row r="548" customFormat="false" ht="15" hidden="false" customHeight="true" outlineLevel="0" collapsed="false">
      <c r="A548" s="11" t="n">
        <v>45838</v>
      </c>
      <c r="B548" s="10" t="n">
        <f aca="false">YEAR(A548)</f>
        <v>2025</v>
      </c>
      <c r="C548" s="10" t="n">
        <f aca="false">MONTH(A548)</f>
        <v>6</v>
      </c>
      <c r="D548" s="10" t="str">
        <f aca="false">TEXT(A548,"mmm")</f>
        <v>Jun</v>
      </c>
      <c r="E548" s="10" t="str">
        <f aca="false">"Q"&amp;ROUNDUP(C548/3,0)</f>
        <v>Q2</v>
      </c>
      <c r="F548" s="10" t="str">
        <f aca="false">TEXT(A548,"ddd")</f>
        <v>Mon</v>
      </c>
      <c r="G548" s="10" t="str">
        <f aca="false">IF(WEEKDAY(A548,2)&gt;5,"Yes","No")</f>
        <v>No</v>
      </c>
      <c r="H548" s="10"/>
    </row>
    <row r="549" customFormat="false" ht="15" hidden="false" customHeight="true" outlineLevel="0" collapsed="false">
      <c r="A549" s="11" t="n">
        <v>45839</v>
      </c>
      <c r="B549" s="10" t="n">
        <f aca="false">YEAR(A549)</f>
        <v>2025</v>
      </c>
      <c r="C549" s="10" t="n">
        <f aca="false">MONTH(A549)</f>
        <v>7</v>
      </c>
      <c r="D549" s="10" t="str">
        <f aca="false">TEXT(A549,"mmm")</f>
        <v>Jul</v>
      </c>
      <c r="E549" s="10" t="str">
        <f aca="false">"Q"&amp;ROUNDUP(C549/3,0)</f>
        <v>Q3</v>
      </c>
      <c r="F549" s="10" t="str">
        <f aca="false">TEXT(A549,"ddd")</f>
        <v>Tue</v>
      </c>
      <c r="G549" s="10" t="str">
        <f aca="false">IF(WEEKDAY(A549,2)&gt;5,"Yes","No")</f>
        <v>No</v>
      </c>
      <c r="H549" s="10"/>
    </row>
    <row r="550" customFormat="false" ht="15" hidden="false" customHeight="true" outlineLevel="0" collapsed="false">
      <c r="A550" s="11" t="n">
        <v>45840</v>
      </c>
      <c r="B550" s="10" t="n">
        <f aca="false">YEAR(A550)</f>
        <v>2025</v>
      </c>
      <c r="C550" s="10" t="n">
        <f aca="false">MONTH(A550)</f>
        <v>7</v>
      </c>
      <c r="D550" s="10" t="str">
        <f aca="false">TEXT(A550,"mmm")</f>
        <v>Jul</v>
      </c>
      <c r="E550" s="10" t="str">
        <f aca="false">"Q"&amp;ROUNDUP(C550/3,0)</f>
        <v>Q3</v>
      </c>
      <c r="F550" s="10" t="str">
        <f aca="false">TEXT(A550,"ddd")</f>
        <v>Wed</v>
      </c>
      <c r="G550" s="10" t="str">
        <f aca="false">IF(WEEKDAY(A550,2)&gt;5,"Yes","No")</f>
        <v>No</v>
      </c>
      <c r="H550" s="10"/>
    </row>
    <row r="551" customFormat="false" ht="15" hidden="false" customHeight="true" outlineLevel="0" collapsed="false">
      <c r="A551" s="11" t="n">
        <v>45841</v>
      </c>
      <c r="B551" s="10" t="n">
        <f aca="false">YEAR(A551)</f>
        <v>2025</v>
      </c>
      <c r="C551" s="10" t="n">
        <f aca="false">MONTH(A551)</f>
        <v>7</v>
      </c>
      <c r="D551" s="10" t="str">
        <f aca="false">TEXT(A551,"mmm")</f>
        <v>Jul</v>
      </c>
      <c r="E551" s="10" t="str">
        <f aca="false">"Q"&amp;ROUNDUP(C551/3,0)</f>
        <v>Q3</v>
      </c>
      <c r="F551" s="10" t="str">
        <f aca="false">TEXT(A551,"ddd")</f>
        <v>Thu</v>
      </c>
      <c r="G551" s="10" t="str">
        <f aca="false">IF(WEEKDAY(A551,2)&gt;5,"Yes","No")</f>
        <v>No</v>
      </c>
      <c r="H551" s="10"/>
    </row>
    <row r="552" customFormat="false" ht="15" hidden="false" customHeight="true" outlineLevel="0" collapsed="false">
      <c r="A552" s="11" t="n">
        <v>45842</v>
      </c>
      <c r="B552" s="10" t="n">
        <f aca="false">YEAR(A552)</f>
        <v>2025</v>
      </c>
      <c r="C552" s="10" t="n">
        <f aca="false">MONTH(A552)</f>
        <v>7</v>
      </c>
      <c r="D552" s="10" t="str">
        <f aca="false">TEXT(A552,"mmm")</f>
        <v>Jul</v>
      </c>
      <c r="E552" s="10" t="str">
        <f aca="false">"Q"&amp;ROUNDUP(C552/3,0)</f>
        <v>Q3</v>
      </c>
      <c r="F552" s="10" t="str">
        <f aca="false">TEXT(A552,"ddd")</f>
        <v>Fri</v>
      </c>
      <c r="G552" s="10" t="str">
        <f aca="false">IF(WEEKDAY(A552,2)&gt;5,"Yes","No")</f>
        <v>No</v>
      </c>
      <c r="H552" s="10"/>
    </row>
    <row r="553" customFormat="false" ht="15" hidden="false" customHeight="true" outlineLevel="0" collapsed="false">
      <c r="A553" s="11" t="n">
        <v>45843</v>
      </c>
      <c r="B553" s="10" t="n">
        <f aca="false">YEAR(A553)</f>
        <v>2025</v>
      </c>
      <c r="C553" s="10" t="n">
        <f aca="false">MONTH(A553)</f>
        <v>7</v>
      </c>
      <c r="D553" s="10" t="str">
        <f aca="false">TEXT(A553,"mmm")</f>
        <v>Jul</v>
      </c>
      <c r="E553" s="10" t="str">
        <f aca="false">"Q"&amp;ROUNDUP(C553/3,0)</f>
        <v>Q3</v>
      </c>
      <c r="F553" s="10" t="str">
        <f aca="false">TEXT(A553,"ddd")</f>
        <v>Sat</v>
      </c>
      <c r="G553" s="10" t="str">
        <f aca="false">IF(WEEKDAY(A553,2)&gt;5,"Yes","No")</f>
        <v>Yes</v>
      </c>
      <c r="H553" s="10"/>
    </row>
    <row r="554" customFormat="false" ht="15" hidden="false" customHeight="true" outlineLevel="0" collapsed="false">
      <c r="A554" s="11" t="n">
        <v>45844</v>
      </c>
      <c r="B554" s="10" t="n">
        <f aca="false">YEAR(A554)</f>
        <v>2025</v>
      </c>
      <c r="C554" s="10" t="n">
        <f aca="false">MONTH(A554)</f>
        <v>7</v>
      </c>
      <c r="D554" s="10" t="str">
        <f aca="false">TEXT(A554,"mmm")</f>
        <v>Jul</v>
      </c>
      <c r="E554" s="10" t="str">
        <f aca="false">"Q"&amp;ROUNDUP(C554/3,0)</f>
        <v>Q3</v>
      </c>
      <c r="F554" s="10" t="str">
        <f aca="false">TEXT(A554,"ddd")</f>
        <v>Sun</v>
      </c>
      <c r="G554" s="10" t="str">
        <f aca="false">IF(WEEKDAY(A554,2)&gt;5,"Yes","No")</f>
        <v>Yes</v>
      </c>
      <c r="H554" s="10"/>
    </row>
    <row r="555" customFormat="false" ht="15" hidden="false" customHeight="true" outlineLevel="0" collapsed="false">
      <c r="A555" s="11" t="n">
        <v>45845</v>
      </c>
      <c r="B555" s="10" t="n">
        <f aca="false">YEAR(A555)</f>
        <v>2025</v>
      </c>
      <c r="C555" s="10" t="n">
        <f aca="false">MONTH(A555)</f>
        <v>7</v>
      </c>
      <c r="D555" s="10" t="str">
        <f aca="false">TEXT(A555,"mmm")</f>
        <v>Jul</v>
      </c>
      <c r="E555" s="10" t="str">
        <f aca="false">"Q"&amp;ROUNDUP(C555/3,0)</f>
        <v>Q3</v>
      </c>
      <c r="F555" s="10" t="str">
        <f aca="false">TEXT(A555,"ddd")</f>
        <v>Mon</v>
      </c>
      <c r="G555" s="10" t="str">
        <f aca="false">IF(WEEKDAY(A555,2)&gt;5,"Yes","No")</f>
        <v>No</v>
      </c>
      <c r="H555" s="10"/>
    </row>
    <row r="556" customFormat="false" ht="15" hidden="false" customHeight="true" outlineLevel="0" collapsed="false">
      <c r="A556" s="11" t="n">
        <v>45846</v>
      </c>
      <c r="B556" s="10" t="n">
        <f aca="false">YEAR(A556)</f>
        <v>2025</v>
      </c>
      <c r="C556" s="10" t="n">
        <f aca="false">MONTH(A556)</f>
        <v>7</v>
      </c>
      <c r="D556" s="10" t="str">
        <f aca="false">TEXT(A556,"mmm")</f>
        <v>Jul</v>
      </c>
      <c r="E556" s="10" t="str">
        <f aca="false">"Q"&amp;ROUNDUP(C556/3,0)</f>
        <v>Q3</v>
      </c>
      <c r="F556" s="10" t="str">
        <f aca="false">TEXT(A556,"ddd")</f>
        <v>Tue</v>
      </c>
      <c r="G556" s="10" t="str">
        <f aca="false">IF(WEEKDAY(A556,2)&gt;5,"Yes","No")</f>
        <v>No</v>
      </c>
      <c r="H556" s="10"/>
    </row>
    <row r="557" customFormat="false" ht="15" hidden="false" customHeight="true" outlineLevel="0" collapsed="false">
      <c r="A557" s="11" t="n">
        <v>45847</v>
      </c>
      <c r="B557" s="10" t="n">
        <f aca="false">YEAR(A557)</f>
        <v>2025</v>
      </c>
      <c r="C557" s="10" t="n">
        <f aca="false">MONTH(A557)</f>
        <v>7</v>
      </c>
      <c r="D557" s="10" t="str">
        <f aca="false">TEXT(A557,"mmm")</f>
        <v>Jul</v>
      </c>
      <c r="E557" s="10" t="str">
        <f aca="false">"Q"&amp;ROUNDUP(C557/3,0)</f>
        <v>Q3</v>
      </c>
      <c r="F557" s="10" t="str">
        <f aca="false">TEXT(A557,"ddd")</f>
        <v>Wed</v>
      </c>
      <c r="G557" s="10" t="str">
        <f aca="false">IF(WEEKDAY(A557,2)&gt;5,"Yes","No")</f>
        <v>No</v>
      </c>
      <c r="H557" s="10"/>
    </row>
    <row r="558" customFormat="false" ht="15" hidden="false" customHeight="true" outlineLevel="0" collapsed="false">
      <c r="A558" s="11" t="n">
        <v>45848</v>
      </c>
      <c r="B558" s="10" t="n">
        <f aca="false">YEAR(A558)</f>
        <v>2025</v>
      </c>
      <c r="C558" s="10" t="n">
        <f aca="false">MONTH(A558)</f>
        <v>7</v>
      </c>
      <c r="D558" s="10" t="str">
        <f aca="false">TEXT(A558,"mmm")</f>
        <v>Jul</v>
      </c>
      <c r="E558" s="10" t="str">
        <f aca="false">"Q"&amp;ROUNDUP(C558/3,0)</f>
        <v>Q3</v>
      </c>
      <c r="F558" s="10" t="str">
        <f aca="false">TEXT(A558,"ddd")</f>
        <v>Thu</v>
      </c>
      <c r="G558" s="10" t="str">
        <f aca="false">IF(WEEKDAY(A558,2)&gt;5,"Yes","No")</f>
        <v>No</v>
      </c>
      <c r="H558" s="10"/>
    </row>
    <row r="559" customFormat="false" ht="15" hidden="false" customHeight="true" outlineLevel="0" collapsed="false">
      <c r="A559" s="11" t="n">
        <v>45849</v>
      </c>
      <c r="B559" s="10" t="n">
        <f aca="false">YEAR(A559)</f>
        <v>2025</v>
      </c>
      <c r="C559" s="10" t="n">
        <f aca="false">MONTH(A559)</f>
        <v>7</v>
      </c>
      <c r="D559" s="10" t="str">
        <f aca="false">TEXT(A559,"mmm")</f>
        <v>Jul</v>
      </c>
      <c r="E559" s="10" t="str">
        <f aca="false">"Q"&amp;ROUNDUP(C559/3,0)</f>
        <v>Q3</v>
      </c>
      <c r="F559" s="10" t="str">
        <f aca="false">TEXT(A559,"ddd")</f>
        <v>Fri</v>
      </c>
      <c r="G559" s="10" t="str">
        <f aca="false">IF(WEEKDAY(A559,2)&gt;5,"Yes","No")</f>
        <v>No</v>
      </c>
      <c r="H559" s="10"/>
    </row>
    <row r="560" customFormat="false" ht="15" hidden="false" customHeight="true" outlineLevel="0" collapsed="false">
      <c r="A560" s="11" t="n">
        <v>45850</v>
      </c>
      <c r="B560" s="10" t="n">
        <f aca="false">YEAR(A560)</f>
        <v>2025</v>
      </c>
      <c r="C560" s="10" t="n">
        <f aca="false">MONTH(A560)</f>
        <v>7</v>
      </c>
      <c r="D560" s="10" t="str">
        <f aca="false">TEXT(A560,"mmm")</f>
        <v>Jul</v>
      </c>
      <c r="E560" s="10" t="str">
        <f aca="false">"Q"&amp;ROUNDUP(C560/3,0)</f>
        <v>Q3</v>
      </c>
      <c r="F560" s="10" t="str">
        <f aca="false">TEXT(A560,"ddd")</f>
        <v>Sat</v>
      </c>
      <c r="G560" s="10" t="str">
        <f aca="false">IF(WEEKDAY(A560,2)&gt;5,"Yes","No")</f>
        <v>Yes</v>
      </c>
      <c r="H560" s="10"/>
    </row>
    <row r="561" customFormat="false" ht="15" hidden="false" customHeight="true" outlineLevel="0" collapsed="false">
      <c r="A561" s="11" t="n">
        <v>45851</v>
      </c>
      <c r="B561" s="10" t="n">
        <f aca="false">YEAR(A561)</f>
        <v>2025</v>
      </c>
      <c r="C561" s="10" t="n">
        <f aca="false">MONTH(A561)</f>
        <v>7</v>
      </c>
      <c r="D561" s="10" t="str">
        <f aca="false">TEXT(A561,"mmm")</f>
        <v>Jul</v>
      </c>
      <c r="E561" s="10" t="str">
        <f aca="false">"Q"&amp;ROUNDUP(C561/3,0)</f>
        <v>Q3</v>
      </c>
      <c r="F561" s="10" t="str">
        <f aca="false">TEXT(A561,"ddd")</f>
        <v>Sun</v>
      </c>
      <c r="G561" s="10" t="str">
        <f aca="false">IF(WEEKDAY(A561,2)&gt;5,"Yes","No")</f>
        <v>Yes</v>
      </c>
      <c r="H561" s="10"/>
    </row>
    <row r="562" customFormat="false" ht="15" hidden="false" customHeight="true" outlineLevel="0" collapsed="false">
      <c r="A562" s="11" t="n">
        <v>45852</v>
      </c>
      <c r="B562" s="10" t="n">
        <f aca="false">YEAR(A562)</f>
        <v>2025</v>
      </c>
      <c r="C562" s="10" t="n">
        <f aca="false">MONTH(A562)</f>
        <v>7</v>
      </c>
      <c r="D562" s="10" t="str">
        <f aca="false">TEXT(A562,"mmm")</f>
        <v>Jul</v>
      </c>
      <c r="E562" s="10" t="str">
        <f aca="false">"Q"&amp;ROUNDUP(C562/3,0)</f>
        <v>Q3</v>
      </c>
      <c r="F562" s="10" t="str">
        <f aca="false">TEXT(A562,"ddd")</f>
        <v>Mon</v>
      </c>
      <c r="G562" s="10" t="str">
        <f aca="false">IF(WEEKDAY(A562,2)&gt;5,"Yes","No")</f>
        <v>No</v>
      </c>
      <c r="H562" s="10"/>
    </row>
    <row r="563" customFormat="false" ht="15" hidden="false" customHeight="true" outlineLevel="0" collapsed="false">
      <c r="A563" s="11" t="n">
        <v>45853</v>
      </c>
      <c r="B563" s="10" t="n">
        <f aca="false">YEAR(A563)</f>
        <v>2025</v>
      </c>
      <c r="C563" s="10" t="n">
        <f aca="false">MONTH(A563)</f>
        <v>7</v>
      </c>
      <c r="D563" s="10" t="str">
        <f aca="false">TEXT(A563,"mmm")</f>
        <v>Jul</v>
      </c>
      <c r="E563" s="10" t="str">
        <f aca="false">"Q"&amp;ROUNDUP(C563/3,0)</f>
        <v>Q3</v>
      </c>
      <c r="F563" s="10" t="str">
        <f aca="false">TEXT(A563,"ddd")</f>
        <v>Tue</v>
      </c>
      <c r="G563" s="10" t="str">
        <f aca="false">IF(WEEKDAY(A563,2)&gt;5,"Yes","No")</f>
        <v>No</v>
      </c>
      <c r="H563" s="10"/>
    </row>
    <row r="564" customFormat="false" ht="15" hidden="false" customHeight="true" outlineLevel="0" collapsed="false">
      <c r="A564" s="11" t="n">
        <v>45854</v>
      </c>
      <c r="B564" s="10" t="n">
        <f aca="false">YEAR(A564)</f>
        <v>2025</v>
      </c>
      <c r="C564" s="10" t="n">
        <f aca="false">MONTH(A564)</f>
        <v>7</v>
      </c>
      <c r="D564" s="10" t="str">
        <f aca="false">TEXT(A564,"mmm")</f>
        <v>Jul</v>
      </c>
      <c r="E564" s="10" t="str">
        <f aca="false">"Q"&amp;ROUNDUP(C564/3,0)</f>
        <v>Q3</v>
      </c>
      <c r="F564" s="10" t="str">
        <f aca="false">TEXT(A564,"ddd")</f>
        <v>Wed</v>
      </c>
      <c r="G564" s="10" t="str">
        <f aca="false">IF(WEEKDAY(A564,2)&gt;5,"Yes","No")</f>
        <v>No</v>
      </c>
      <c r="H564" s="10"/>
    </row>
    <row r="565" customFormat="false" ht="15" hidden="false" customHeight="true" outlineLevel="0" collapsed="false">
      <c r="A565" s="11" t="n">
        <v>45855</v>
      </c>
      <c r="B565" s="10" t="n">
        <f aca="false">YEAR(A565)</f>
        <v>2025</v>
      </c>
      <c r="C565" s="10" t="n">
        <f aca="false">MONTH(A565)</f>
        <v>7</v>
      </c>
      <c r="D565" s="10" t="str">
        <f aca="false">TEXT(A565,"mmm")</f>
        <v>Jul</v>
      </c>
      <c r="E565" s="10" t="str">
        <f aca="false">"Q"&amp;ROUNDUP(C565/3,0)</f>
        <v>Q3</v>
      </c>
      <c r="F565" s="10" t="str">
        <f aca="false">TEXT(A565,"ddd")</f>
        <v>Thu</v>
      </c>
      <c r="G565" s="10" t="str">
        <f aca="false">IF(WEEKDAY(A565,2)&gt;5,"Yes","No")</f>
        <v>No</v>
      </c>
      <c r="H565" s="10"/>
    </row>
    <row r="566" customFormat="false" ht="15" hidden="false" customHeight="true" outlineLevel="0" collapsed="false">
      <c r="A566" s="11" t="n">
        <v>45856</v>
      </c>
      <c r="B566" s="10" t="n">
        <f aca="false">YEAR(A566)</f>
        <v>2025</v>
      </c>
      <c r="C566" s="10" t="n">
        <f aca="false">MONTH(A566)</f>
        <v>7</v>
      </c>
      <c r="D566" s="10" t="str">
        <f aca="false">TEXT(A566,"mmm")</f>
        <v>Jul</v>
      </c>
      <c r="E566" s="10" t="str">
        <f aca="false">"Q"&amp;ROUNDUP(C566/3,0)</f>
        <v>Q3</v>
      </c>
      <c r="F566" s="10" t="str">
        <f aca="false">TEXT(A566,"ddd")</f>
        <v>Fri</v>
      </c>
      <c r="G566" s="10" t="str">
        <f aca="false">IF(WEEKDAY(A566,2)&gt;5,"Yes","No")</f>
        <v>No</v>
      </c>
      <c r="H566" s="10"/>
    </row>
    <row r="567" customFormat="false" ht="15" hidden="false" customHeight="true" outlineLevel="0" collapsed="false">
      <c r="A567" s="11" t="n">
        <v>45857</v>
      </c>
      <c r="B567" s="10" t="n">
        <f aca="false">YEAR(A567)</f>
        <v>2025</v>
      </c>
      <c r="C567" s="10" t="n">
        <f aca="false">MONTH(A567)</f>
        <v>7</v>
      </c>
      <c r="D567" s="10" t="str">
        <f aca="false">TEXT(A567,"mmm")</f>
        <v>Jul</v>
      </c>
      <c r="E567" s="10" t="str">
        <f aca="false">"Q"&amp;ROUNDUP(C567/3,0)</f>
        <v>Q3</v>
      </c>
      <c r="F567" s="10" t="str">
        <f aca="false">TEXT(A567,"ddd")</f>
        <v>Sat</v>
      </c>
      <c r="G567" s="10" t="str">
        <f aca="false">IF(WEEKDAY(A567,2)&gt;5,"Yes","No")</f>
        <v>Yes</v>
      </c>
      <c r="H567" s="10"/>
    </row>
    <row r="568" customFormat="false" ht="15" hidden="false" customHeight="true" outlineLevel="0" collapsed="false">
      <c r="A568" s="11" t="n">
        <v>45858</v>
      </c>
      <c r="B568" s="10" t="n">
        <f aca="false">YEAR(A568)</f>
        <v>2025</v>
      </c>
      <c r="C568" s="10" t="n">
        <f aca="false">MONTH(A568)</f>
        <v>7</v>
      </c>
      <c r="D568" s="10" t="str">
        <f aca="false">TEXT(A568,"mmm")</f>
        <v>Jul</v>
      </c>
      <c r="E568" s="10" t="str">
        <f aca="false">"Q"&amp;ROUNDUP(C568/3,0)</f>
        <v>Q3</v>
      </c>
      <c r="F568" s="10" t="str">
        <f aca="false">TEXT(A568,"ddd")</f>
        <v>Sun</v>
      </c>
      <c r="G568" s="10" t="str">
        <f aca="false">IF(WEEKDAY(A568,2)&gt;5,"Yes","No")</f>
        <v>Yes</v>
      </c>
      <c r="H568" s="10"/>
    </row>
    <row r="569" customFormat="false" ht="15" hidden="false" customHeight="true" outlineLevel="0" collapsed="false">
      <c r="A569" s="11" t="n">
        <v>45859</v>
      </c>
      <c r="B569" s="10" t="n">
        <f aca="false">YEAR(A569)</f>
        <v>2025</v>
      </c>
      <c r="C569" s="10" t="n">
        <f aca="false">MONTH(A569)</f>
        <v>7</v>
      </c>
      <c r="D569" s="10" t="str">
        <f aca="false">TEXT(A569,"mmm")</f>
        <v>Jul</v>
      </c>
      <c r="E569" s="10" t="str">
        <f aca="false">"Q"&amp;ROUNDUP(C569/3,0)</f>
        <v>Q3</v>
      </c>
      <c r="F569" s="10" t="str">
        <f aca="false">TEXT(A569,"ddd")</f>
        <v>Mon</v>
      </c>
      <c r="G569" s="10" t="str">
        <f aca="false">IF(WEEKDAY(A569,2)&gt;5,"Yes","No")</f>
        <v>No</v>
      </c>
      <c r="H569" s="10"/>
    </row>
    <row r="570" customFormat="false" ht="15" hidden="false" customHeight="true" outlineLevel="0" collapsed="false">
      <c r="A570" s="11" t="n">
        <v>45860</v>
      </c>
      <c r="B570" s="10" t="n">
        <f aca="false">YEAR(A570)</f>
        <v>2025</v>
      </c>
      <c r="C570" s="10" t="n">
        <f aca="false">MONTH(A570)</f>
        <v>7</v>
      </c>
      <c r="D570" s="10" t="str">
        <f aca="false">TEXT(A570,"mmm")</f>
        <v>Jul</v>
      </c>
      <c r="E570" s="10" t="str">
        <f aca="false">"Q"&amp;ROUNDUP(C570/3,0)</f>
        <v>Q3</v>
      </c>
      <c r="F570" s="10" t="str">
        <f aca="false">TEXT(A570,"ddd")</f>
        <v>Tue</v>
      </c>
      <c r="G570" s="10" t="str">
        <f aca="false">IF(WEEKDAY(A570,2)&gt;5,"Yes","No")</f>
        <v>No</v>
      </c>
      <c r="H570" s="10"/>
    </row>
    <row r="571" customFormat="false" ht="15" hidden="false" customHeight="true" outlineLevel="0" collapsed="false">
      <c r="A571" s="11" t="n">
        <v>45861</v>
      </c>
      <c r="B571" s="10" t="n">
        <f aca="false">YEAR(A571)</f>
        <v>2025</v>
      </c>
      <c r="C571" s="10" t="n">
        <f aca="false">MONTH(A571)</f>
        <v>7</v>
      </c>
      <c r="D571" s="10" t="str">
        <f aca="false">TEXT(A571,"mmm")</f>
        <v>Jul</v>
      </c>
      <c r="E571" s="10" t="str">
        <f aca="false">"Q"&amp;ROUNDUP(C571/3,0)</f>
        <v>Q3</v>
      </c>
      <c r="F571" s="10" t="str">
        <f aca="false">TEXT(A571,"ddd")</f>
        <v>Wed</v>
      </c>
      <c r="G571" s="10" t="str">
        <f aca="false">IF(WEEKDAY(A571,2)&gt;5,"Yes","No")</f>
        <v>No</v>
      </c>
      <c r="H571" s="10"/>
    </row>
    <row r="572" customFormat="false" ht="15" hidden="false" customHeight="true" outlineLevel="0" collapsed="false">
      <c r="A572" s="11" t="n">
        <v>45862</v>
      </c>
      <c r="B572" s="10" t="n">
        <f aca="false">YEAR(A572)</f>
        <v>2025</v>
      </c>
      <c r="C572" s="10" t="n">
        <f aca="false">MONTH(A572)</f>
        <v>7</v>
      </c>
      <c r="D572" s="10" t="str">
        <f aca="false">TEXT(A572,"mmm")</f>
        <v>Jul</v>
      </c>
      <c r="E572" s="10" t="str">
        <f aca="false">"Q"&amp;ROUNDUP(C572/3,0)</f>
        <v>Q3</v>
      </c>
      <c r="F572" s="10" t="str">
        <f aca="false">TEXT(A572,"ddd")</f>
        <v>Thu</v>
      </c>
      <c r="G572" s="10" t="str">
        <f aca="false">IF(WEEKDAY(A572,2)&gt;5,"Yes","No")</f>
        <v>No</v>
      </c>
      <c r="H572" s="10"/>
    </row>
    <row r="573" customFormat="false" ht="15" hidden="false" customHeight="true" outlineLevel="0" collapsed="false">
      <c r="A573" s="11" t="n">
        <v>45863</v>
      </c>
      <c r="B573" s="10" t="n">
        <f aca="false">YEAR(A573)</f>
        <v>2025</v>
      </c>
      <c r="C573" s="10" t="n">
        <f aca="false">MONTH(A573)</f>
        <v>7</v>
      </c>
      <c r="D573" s="10" t="str">
        <f aca="false">TEXT(A573,"mmm")</f>
        <v>Jul</v>
      </c>
      <c r="E573" s="10" t="str">
        <f aca="false">"Q"&amp;ROUNDUP(C573/3,0)</f>
        <v>Q3</v>
      </c>
      <c r="F573" s="10" t="str">
        <f aca="false">TEXT(A573,"ddd")</f>
        <v>Fri</v>
      </c>
      <c r="G573" s="10" t="str">
        <f aca="false">IF(WEEKDAY(A573,2)&gt;5,"Yes","No")</f>
        <v>No</v>
      </c>
      <c r="H573" s="10"/>
    </row>
    <row r="574" customFormat="false" ht="15" hidden="false" customHeight="true" outlineLevel="0" collapsed="false">
      <c r="A574" s="11" t="n">
        <v>45864</v>
      </c>
      <c r="B574" s="10" t="n">
        <f aca="false">YEAR(A574)</f>
        <v>2025</v>
      </c>
      <c r="C574" s="10" t="n">
        <f aca="false">MONTH(A574)</f>
        <v>7</v>
      </c>
      <c r="D574" s="10" t="str">
        <f aca="false">TEXT(A574,"mmm")</f>
        <v>Jul</v>
      </c>
      <c r="E574" s="10" t="str">
        <f aca="false">"Q"&amp;ROUNDUP(C574/3,0)</f>
        <v>Q3</v>
      </c>
      <c r="F574" s="10" t="str">
        <f aca="false">TEXT(A574,"ddd")</f>
        <v>Sat</v>
      </c>
      <c r="G574" s="10" t="str">
        <f aca="false">IF(WEEKDAY(A574,2)&gt;5,"Yes","No")</f>
        <v>Yes</v>
      </c>
      <c r="H574" s="10"/>
    </row>
    <row r="575" customFormat="false" ht="15" hidden="false" customHeight="true" outlineLevel="0" collapsed="false">
      <c r="A575" s="11" t="n">
        <v>45865</v>
      </c>
      <c r="B575" s="10" t="n">
        <f aca="false">YEAR(A575)</f>
        <v>2025</v>
      </c>
      <c r="C575" s="10" t="n">
        <f aca="false">MONTH(A575)</f>
        <v>7</v>
      </c>
      <c r="D575" s="10" t="str">
        <f aca="false">TEXT(A575,"mmm")</f>
        <v>Jul</v>
      </c>
      <c r="E575" s="10" t="str">
        <f aca="false">"Q"&amp;ROUNDUP(C575/3,0)</f>
        <v>Q3</v>
      </c>
      <c r="F575" s="10" t="str">
        <f aca="false">TEXT(A575,"ddd")</f>
        <v>Sun</v>
      </c>
      <c r="G575" s="10" t="str">
        <f aca="false">IF(WEEKDAY(A575,2)&gt;5,"Yes","No")</f>
        <v>Yes</v>
      </c>
      <c r="H575" s="10"/>
    </row>
    <row r="576" customFormat="false" ht="15" hidden="false" customHeight="true" outlineLevel="0" collapsed="false">
      <c r="A576" s="11" t="n">
        <v>45866</v>
      </c>
      <c r="B576" s="10" t="n">
        <f aca="false">YEAR(A576)</f>
        <v>2025</v>
      </c>
      <c r="C576" s="10" t="n">
        <f aca="false">MONTH(A576)</f>
        <v>7</v>
      </c>
      <c r="D576" s="10" t="str">
        <f aca="false">TEXT(A576,"mmm")</f>
        <v>Jul</v>
      </c>
      <c r="E576" s="10" t="str">
        <f aca="false">"Q"&amp;ROUNDUP(C576/3,0)</f>
        <v>Q3</v>
      </c>
      <c r="F576" s="10" t="str">
        <f aca="false">TEXT(A576,"ddd")</f>
        <v>Mon</v>
      </c>
      <c r="G576" s="10" t="str">
        <f aca="false">IF(WEEKDAY(A576,2)&gt;5,"Yes","No")</f>
        <v>No</v>
      </c>
      <c r="H576" s="10"/>
    </row>
    <row r="577" customFormat="false" ht="15" hidden="false" customHeight="true" outlineLevel="0" collapsed="false">
      <c r="A577" s="11" t="n">
        <v>45867</v>
      </c>
      <c r="B577" s="10" t="n">
        <f aca="false">YEAR(A577)</f>
        <v>2025</v>
      </c>
      <c r="C577" s="10" t="n">
        <f aca="false">MONTH(A577)</f>
        <v>7</v>
      </c>
      <c r="D577" s="10" t="str">
        <f aca="false">TEXT(A577,"mmm")</f>
        <v>Jul</v>
      </c>
      <c r="E577" s="10" t="str">
        <f aca="false">"Q"&amp;ROUNDUP(C577/3,0)</f>
        <v>Q3</v>
      </c>
      <c r="F577" s="10" t="str">
        <f aca="false">TEXT(A577,"ddd")</f>
        <v>Tue</v>
      </c>
      <c r="G577" s="10" t="str">
        <f aca="false">IF(WEEKDAY(A577,2)&gt;5,"Yes","No")</f>
        <v>No</v>
      </c>
      <c r="H577" s="10"/>
    </row>
    <row r="578" customFormat="false" ht="15" hidden="false" customHeight="true" outlineLevel="0" collapsed="false">
      <c r="A578" s="11" t="n">
        <v>45868</v>
      </c>
      <c r="B578" s="10" t="n">
        <f aca="false">YEAR(A578)</f>
        <v>2025</v>
      </c>
      <c r="C578" s="10" t="n">
        <f aca="false">MONTH(A578)</f>
        <v>7</v>
      </c>
      <c r="D578" s="10" t="str">
        <f aca="false">TEXT(A578,"mmm")</f>
        <v>Jul</v>
      </c>
      <c r="E578" s="10" t="str">
        <f aca="false">"Q"&amp;ROUNDUP(C578/3,0)</f>
        <v>Q3</v>
      </c>
      <c r="F578" s="10" t="str">
        <f aca="false">TEXT(A578,"ddd")</f>
        <v>Wed</v>
      </c>
      <c r="G578" s="10" t="str">
        <f aca="false">IF(WEEKDAY(A578,2)&gt;5,"Yes","No")</f>
        <v>No</v>
      </c>
      <c r="H578" s="10"/>
    </row>
    <row r="579" customFormat="false" ht="15" hidden="false" customHeight="true" outlineLevel="0" collapsed="false">
      <c r="A579" s="11" t="n">
        <v>45869</v>
      </c>
      <c r="B579" s="10" t="n">
        <f aca="false">YEAR(A579)</f>
        <v>2025</v>
      </c>
      <c r="C579" s="10" t="n">
        <f aca="false">MONTH(A579)</f>
        <v>7</v>
      </c>
      <c r="D579" s="10" t="str">
        <f aca="false">TEXT(A579,"mmm")</f>
        <v>Jul</v>
      </c>
      <c r="E579" s="10" t="str">
        <f aca="false">"Q"&amp;ROUNDUP(C579/3,0)</f>
        <v>Q3</v>
      </c>
      <c r="F579" s="10" t="str">
        <f aca="false">TEXT(A579,"ddd")</f>
        <v>Thu</v>
      </c>
      <c r="G579" s="10" t="str">
        <f aca="false">IF(WEEKDAY(A579,2)&gt;5,"Yes","No")</f>
        <v>No</v>
      </c>
      <c r="H579" s="10"/>
    </row>
    <row r="580" customFormat="false" ht="15" hidden="false" customHeight="true" outlineLevel="0" collapsed="false">
      <c r="A580" s="11" t="n">
        <v>45870</v>
      </c>
      <c r="B580" s="10" t="n">
        <f aca="false">YEAR(A580)</f>
        <v>2025</v>
      </c>
      <c r="C580" s="10" t="n">
        <f aca="false">MONTH(A580)</f>
        <v>8</v>
      </c>
      <c r="D580" s="10" t="str">
        <f aca="false">TEXT(A580,"mmm")</f>
        <v>Aug</v>
      </c>
      <c r="E580" s="10" t="str">
        <f aca="false">"Q"&amp;ROUNDUP(C580/3,0)</f>
        <v>Q3</v>
      </c>
      <c r="F580" s="10" t="str">
        <f aca="false">TEXT(A580,"ddd")</f>
        <v>Fri</v>
      </c>
      <c r="G580" s="10" t="str">
        <f aca="false">IF(WEEKDAY(A580,2)&gt;5,"Yes","No")</f>
        <v>No</v>
      </c>
      <c r="H580" s="10"/>
    </row>
    <row r="581" customFormat="false" ht="15" hidden="false" customHeight="true" outlineLevel="0" collapsed="false">
      <c r="A581" s="11" t="n">
        <v>45871</v>
      </c>
      <c r="B581" s="10" t="n">
        <f aca="false">YEAR(A581)</f>
        <v>2025</v>
      </c>
      <c r="C581" s="10" t="n">
        <f aca="false">MONTH(A581)</f>
        <v>8</v>
      </c>
      <c r="D581" s="10" t="str">
        <f aca="false">TEXT(A581,"mmm")</f>
        <v>Aug</v>
      </c>
      <c r="E581" s="10" t="str">
        <f aca="false">"Q"&amp;ROUNDUP(C581/3,0)</f>
        <v>Q3</v>
      </c>
      <c r="F581" s="10" t="str">
        <f aca="false">TEXT(A581,"ddd")</f>
        <v>Sat</v>
      </c>
      <c r="G581" s="10" t="str">
        <f aca="false">IF(WEEKDAY(A581,2)&gt;5,"Yes","No")</f>
        <v>Yes</v>
      </c>
      <c r="H581" s="10"/>
    </row>
    <row r="582" customFormat="false" ht="15" hidden="false" customHeight="true" outlineLevel="0" collapsed="false">
      <c r="A582" s="11" t="n">
        <v>45872</v>
      </c>
      <c r="B582" s="10" t="n">
        <f aca="false">YEAR(A582)</f>
        <v>2025</v>
      </c>
      <c r="C582" s="10" t="n">
        <f aca="false">MONTH(A582)</f>
        <v>8</v>
      </c>
      <c r="D582" s="10" t="str">
        <f aca="false">TEXT(A582,"mmm")</f>
        <v>Aug</v>
      </c>
      <c r="E582" s="10" t="str">
        <f aca="false">"Q"&amp;ROUNDUP(C582/3,0)</f>
        <v>Q3</v>
      </c>
      <c r="F582" s="10" t="str">
        <f aca="false">TEXT(A582,"ddd")</f>
        <v>Sun</v>
      </c>
      <c r="G582" s="10" t="str">
        <f aca="false">IF(WEEKDAY(A582,2)&gt;5,"Yes","No")</f>
        <v>Yes</v>
      </c>
      <c r="H582" s="10"/>
    </row>
    <row r="583" customFormat="false" ht="15" hidden="false" customHeight="true" outlineLevel="0" collapsed="false">
      <c r="A583" s="11" t="n">
        <v>45873</v>
      </c>
      <c r="B583" s="10" t="n">
        <f aca="false">YEAR(A583)</f>
        <v>2025</v>
      </c>
      <c r="C583" s="10" t="n">
        <f aca="false">MONTH(A583)</f>
        <v>8</v>
      </c>
      <c r="D583" s="10" t="str">
        <f aca="false">TEXT(A583,"mmm")</f>
        <v>Aug</v>
      </c>
      <c r="E583" s="10" t="str">
        <f aca="false">"Q"&amp;ROUNDUP(C583/3,0)</f>
        <v>Q3</v>
      </c>
      <c r="F583" s="10" t="str">
        <f aca="false">TEXT(A583,"ddd")</f>
        <v>Mon</v>
      </c>
      <c r="G583" s="10" t="str">
        <f aca="false">IF(WEEKDAY(A583,2)&gt;5,"Yes","No")</f>
        <v>No</v>
      </c>
      <c r="H583" s="10"/>
    </row>
    <row r="584" customFormat="false" ht="15" hidden="false" customHeight="true" outlineLevel="0" collapsed="false">
      <c r="A584" s="11" t="n">
        <v>45874</v>
      </c>
      <c r="B584" s="10" t="n">
        <f aca="false">YEAR(A584)</f>
        <v>2025</v>
      </c>
      <c r="C584" s="10" t="n">
        <f aca="false">MONTH(A584)</f>
        <v>8</v>
      </c>
      <c r="D584" s="10" t="str">
        <f aca="false">TEXT(A584,"mmm")</f>
        <v>Aug</v>
      </c>
      <c r="E584" s="10" t="str">
        <f aca="false">"Q"&amp;ROUNDUP(C584/3,0)</f>
        <v>Q3</v>
      </c>
      <c r="F584" s="10" t="str">
        <f aca="false">TEXT(A584,"ddd")</f>
        <v>Tue</v>
      </c>
      <c r="G584" s="10" t="str">
        <f aca="false">IF(WEEKDAY(A584,2)&gt;5,"Yes","No")</f>
        <v>No</v>
      </c>
      <c r="H584" s="10"/>
    </row>
    <row r="585" customFormat="false" ht="15" hidden="false" customHeight="true" outlineLevel="0" collapsed="false">
      <c r="A585" s="11" t="n">
        <v>45875</v>
      </c>
      <c r="B585" s="10" t="n">
        <f aca="false">YEAR(A585)</f>
        <v>2025</v>
      </c>
      <c r="C585" s="10" t="n">
        <f aca="false">MONTH(A585)</f>
        <v>8</v>
      </c>
      <c r="D585" s="10" t="str">
        <f aca="false">TEXT(A585,"mmm")</f>
        <v>Aug</v>
      </c>
      <c r="E585" s="10" t="str">
        <f aca="false">"Q"&amp;ROUNDUP(C585/3,0)</f>
        <v>Q3</v>
      </c>
      <c r="F585" s="10" t="str">
        <f aca="false">TEXT(A585,"ddd")</f>
        <v>Wed</v>
      </c>
      <c r="G585" s="10" t="str">
        <f aca="false">IF(WEEKDAY(A585,2)&gt;5,"Yes","No")</f>
        <v>No</v>
      </c>
      <c r="H585" s="10"/>
    </row>
    <row r="586" customFormat="false" ht="15" hidden="false" customHeight="true" outlineLevel="0" collapsed="false">
      <c r="A586" s="11" t="n">
        <v>45876</v>
      </c>
      <c r="B586" s="10" t="n">
        <f aca="false">YEAR(A586)</f>
        <v>2025</v>
      </c>
      <c r="C586" s="10" t="n">
        <f aca="false">MONTH(A586)</f>
        <v>8</v>
      </c>
      <c r="D586" s="10" t="str">
        <f aca="false">TEXT(A586,"mmm")</f>
        <v>Aug</v>
      </c>
      <c r="E586" s="10" t="str">
        <f aca="false">"Q"&amp;ROUNDUP(C586/3,0)</f>
        <v>Q3</v>
      </c>
      <c r="F586" s="10" t="str">
        <f aca="false">TEXT(A586,"ddd")</f>
        <v>Thu</v>
      </c>
      <c r="G586" s="10" t="str">
        <f aca="false">IF(WEEKDAY(A586,2)&gt;5,"Yes","No")</f>
        <v>No</v>
      </c>
      <c r="H586" s="10"/>
    </row>
    <row r="587" customFormat="false" ht="15" hidden="false" customHeight="true" outlineLevel="0" collapsed="false">
      <c r="A587" s="11" t="n">
        <v>45877</v>
      </c>
      <c r="B587" s="10" t="n">
        <f aca="false">YEAR(A587)</f>
        <v>2025</v>
      </c>
      <c r="C587" s="10" t="n">
        <f aca="false">MONTH(A587)</f>
        <v>8</v>
      </c>
      <c r="D587" s="10" t="str">
        <f aca="false">TEXT(A587,"mmm")</f>
        <v>Aug</v>
      </c>
      <c r="E587" s="10" t="str">
        <f aca="false">"Q"&amp;ROUNDUP(C587/3,0)</f>
        <v>Q3</v>
      </c>
      <c r="F587" s="10" t="str">
        <f aca="false">TEXT(A587,"ddd")</f>
        <v>Fri</v>
      </c>
      <c r="G587" s="10" t="str">
        <f aca="false">IF(WEEKDAY(A587,2)&gt;5,"Yes","No")</f>
        <v>No</v>
      </c>
      <c r="H587" s="10"/>
    </row>
    <row r="588" customFormat="false" ht="15" hidden="false" customHeight="true" outlineLevel="0" collapsed="false">
      <c r="A588" s="11" t="n">
        <v>45878</v>
      </c>
      <c r="B588" s="10" t="n">
        <f aca="false">YEAR(A588)</f>
        <v>2025</v>
      </c>
      <c r="C588" s="10" t="n">
        <f aca="false">MONTH(A588)</f>
        <v>8</v>
      </c>
      <c r="D588" s="10" t="str">
        <f aca="false">TEXT(A588,"mmm")</f>
        <v>Aug</v>
      </c>
      <c r="E588" s="10" t="str">
        <f aca="false">"Q"&amp;ROUNDUP(C588/3,0)</f>
        <v>Q3</v>
      </c>
      <c r="F588" s="10" t="str">
        <f aca="false">TEXT(A588,"ddd")</f>
        <v>Sat</v>
      </c>
      <c r="G588" s="10" t="str">
        <f aca="false">IF(WEEKDAY(A588,2)&gt;5,"Yes","No")</f>
        <v>Yes</v>
      </c>
      <c r="H588" s="10" t="s">
        <v>1000</v>
      </c>
    </row>
    <row r="589" customFormat="false" ht="15" hidden="false" customHeight="true" outlineLevel="0" collapsed="false">
      <c r="A589" s="11" t="n">
        <v>45879</v>
      </c>
      <c r="B589" s="10" t="n">
        <f aca="false">YEAR(A589)</f>
        <v>2025</v>
      </c>
      <c r="C589" s="10" t="n">
        <f aca="false">MONTH(A589)</f>
        <v>8</v>
      </c>
      <c r="D589" s="10" t="str">
        <f aca="false">TEXT(A589,"mmm")</f>
        <v>Aug</v>
      </c>
      <c r="E589" s="10" t="str">
        <f aca="false">"Q"&amp;ROUNDUP(C589/3,0)</f>
        <v>Q3</v>
      </c>
      <c r="F589" s="10" t="str">
        <f aca="false">TEXT(A589,"ddd")</f>
        <v>Sun</v>
      </c>
      <c r="G589" s="10" t="str">
        <f aca="false">IF(WEEKDAY(A589,2)&gt;5,"Yes","No")</f>
        <v>Yes</v>
      </c>
      <c r="H589" s="10"/>
    </row>
    <row r="590" customFormat="false" ht="15" hidden="false" customHeight="true" outlineLevel="0" collapsed="false">
      <c r="A590" s="11" t="n">
        <v>45880</v>
      </c>
      <c r="B590" s="10" t="n">
        <f aca="false">YEAR(A590)</f>
        <v>2025</v>
      </c>
      <c r="C590" s="10" t="n">
        <f aca="false">MONTH(A590)</f>
        <v>8</v>
      </c>
      <c r="D590" s="10" t="str">
        <f aca="false">TEXT(A590,"mmm")</f>
        <v>Aug</v>
      </c>
      <c r="E590" s="10" t="str">
        <f aca="false">"Q"&amp;ROUNDUP(C590/3,0)</f>
        <v>Q3</v>
      </c>
      <c r="F590" s="10" t="str">
        <f aca="false">TEXT(A590,"ddd")</f>
        <v>Mon</v>
      </c>
      <c r="G590" s="10" t="str">
        <f aca="false">IF(WEEKDAY(A590,2)&gt;5,"Yes","No")</f>
        <v>No</v>
      </c>
      <c r="H590" s="10"/>
    </row>
    <row r="591" customFormat="false" ht="15" hidden="false" customHeight="true" outlineLevel="0" collapsed="false">
      <c r="A591" s="11" t="n">
        <v>45881</v>
      </c>
      <c r="B591" s="10" t="n">
        <f aca="false">YEAR(A591)</f>
        <v>2025</v>
      </c>
      <c r="C591" s="10" t="n">
        <f aca="false">MONTH(A591)</f>
        <v>8</v>
      </c>
      <c r="D591" s="10" t="str">
        <f aca="false">TEXT(A591,"mmm")</f>
        <v>Aug</v>
      </c>
      <c r="E591" s="10" t="str">
        <f aca="false">"Q"&amp;ROUNDUP(C591/3,0)</f>
        <v>Q3</v>
      </c>
      <c r="F591" s="10" t="str">
        <f aca="false">TEXT(A591,"ddd")</f>
        <v>Tue</v>
      </c>
      <c r="G591" s="10" t="str">
        <f aca="false">IF(WEEKDAY(A591,2)&gt;5,"Yes","No")</f>
        <v>No</v>
      </c>
      <c r="H591" s="10"/>
    </row>
    <row r="592" customFormat="false" ht="15" hidden="false" customHeight="true" outlineLevel="0" collapsed="false">
      <c r="A592" s="11" t="n">
        <v>45882</v>
      </c>
      <c r="B592" s="10" t="n">
        <f aca="false">YEAR(A592)</f>
        <v>2025</v>
      </c>
      <c r="C592" s="10" t="n">
        <f aca="false">MONTH(A592)</f>
        <v>8</v>
      </c>
      <c r="D592" s="10" t="str">
        <f aca="false">TEXT(A592,"mmm")</f>
        <v>Aug</v>
      </c>
      <c r="E592" s="10" t="str">
        <f aca="false">"Q"&amp;ROUNDUP(C592/3,0)</f>
        <v>Q3</v>
      </c>
      <c r="F592" s="10" t="str">
        <f aca="false">TEXT(A592,"ddd")</f>
        <v>Wed</v>
      </c>
      <c r="G592" s="10" t="str">
        <f aca="false">IF(WEEKDAY(A592,2)&gt;5,"Yes","No")</f>
        <v>No</v>
      </c>
      <c r="H592" s="10"/>
    </row>
    <row r="593" customFormat="false" ht="15" hidden="false" customHeight="true" outlineLevel="0" collapsed="false">
      <c r="A593" s="11" t="n">
        <v>45883</v>
      </c>
      <c r="B593" s="10" t="n">
        <f aca="false">YEAR(A593)</f>
        <v>2025</v>
      </c>
      <c r="C593" s="10" t="n">
        <f aca="false">MONTH(A593)</f>
        <v>8</v>
      </c>
      <c r="D593" s="10" t="str">
        <f aca="false">TEXT(A593,"mmm")</f>
        <v>Aug</v>
      </c>
      <c r="E593" s="10" t="str">
        <f aca="false">"Q"&amp;ROUNDUP(C593/3,0)</f>
        <v>Q3</v>
      </c>
      <c r="F593" s="10" t="str">
        <f aca="false">TEXT(A593,"ddd")</f>
        <v>Thu</v>
      </c>
      <c r="G593" s="10" t="str">
        <f aca="false">IF(WEEKDAY(A593,2)&gt;5,"Yes","No")</f>
        <v>No</v>
      </c>
      <c r="H593" s="10"/>
    </row>
    <row r="594" customFormat="false" ht="15" hidden="false" customHeight="true" outlineLevel="0" collapsed="false">
      <c r="A594" s="11" t="n">
        <v>45884</v>
      </c>
      <c r="B594" s="10" t="n">
        <f aca="false">YEAR(A594)</f>
        <v>2025</v>
      </c>
      <c r="C594" s="10" t="n">
        <f aca="false">MONTH(A594)</f>
        <v>8</v>
      </c>
      <c r="D594" s="10" t="str">
        <f aca="false">TEXT(A594,"mmm")</f>
        <v>Aug</v>
      </c>
      <c r="E594" s="10" t="str">
        <f aca="false">"Q"&amp;ROUNDUP(C594/3,0)</f>
        <v>Q3</v>
      </c>
      <c r="F594" s="10" t="str">
        <f aca="false">TEXT(A594,"ddd")</f>
        <v>Fri</v>
      </c>
      <c r="G594" s="10" t="str">
        <f aca="false">IF(WEEKDAY(A594,2)&gt;5,"Yes","No")</f>
        <v>No</v>
      </c>
      <c r="H594" s="10"/>
    </row>
    <row r="595" customFormat="false" ht="15" hidden="false" customHeight="true" outlineLevel="0" collapsed="false">
      <c r="A595" s="11" t="n">
        <v>45885</v>
      </c>
      <c r="B595" s="10" t="n">
        <f aca="false">YEAR(A595)</f>
        <v>2025</v>
      </c>
      <c r="C595" s="10" t="n">
        <f aca="false">MONTH(A595)</f>
        <v>8</v>
      </c>
      <c r="D595" s="10" t="str">
        <f aca="false">TEXT(A595,"mmm")</f>
        <v>Aug</v>
      </c>
      <c r="E595" s="10" t="str">
        <f aca="false">"Q"&amp;ROUNDUP(C595/3,0)</f>
        <v>Q3</v>
      </c>
      <c r="F595" s="10" t="str">
        <f aca="false">TEXT(A595,"ddd")</f>
        <v>Sat</v>
      </c>
      <c r="G595" s="10" t="str">
        <f aca="false">IF(WEEKDAY(A595,2)&gt;5,"Yes","No")</f>
        <v>Yes</v>
      </c>
      <c r="H595" s="10"/>
    </row>
    <row r="596" customFormat="false" ht="15" hidden="false" customHeight="true" outlineLevel="0" collapsed="false">
      <c r="A596" s="11" t="n">
        <v>45886</v>
      </c>
      <c r="B596" s="10" t="n">
        <f aca="false">YEAR(A596)</f>
        <v>2025</v>
      </c>
      <c r="C596" s="10" t="n">
        <f aca="false">MONTH(A596)</f>
        <v>8</v>
      </c>
      <c r="D596" s="10" t="str">
        <f aca="false">TEXT(A596,"mmm")</f>
        <v>Aug</v>
      </c>
      <c r="E596" s="10" t="str">
        <f aca="false">"Q"&amp;ROUNDUP(C596/3,0)</f>
        <v>Q3</v>
      </c>
      <c r="F596" s="10" t="str">
        <f aca="false">TEXT(A596,"ddd")</f>
        <v>Sun</v>
      </c>
      <c r="G596" s="10" t="str">
        <f aca="false">IF(WEEKDAY(A596,2)&gt;5,"Yes","No")</f>
        <v>Yes</v>
      </c>
      <c r="H596" s="10"/>
    </row>
    <row r="597" customFormat="false" ht="15" hidden="false" customHeight="true" outlineLevel="0" collapsed="false">
      <c r="A597" s="11" t="n">
        <v>45887</v>
      </c>
      <c r="B597" s="10" t="n">
        <f aca="false">YEAR(A597)</f>
        <v>2025</v>
      </c>
      <c r="C597" s="10" t="n">
        <f aca="false">MONTH(A597)</f>
        <v>8</v>
      </c>
      <c r="D597" s="10" t="str">
        <f aca="false">TEXT(A597,"mmm")</f>
        <v>Aug</v>
      </c>
      <c r="E597" s="10" t="str">
        <f aca="false">"Q"&amp;ROUNDUP(C597/3,0)</f>
        <v>Q3</v>
      </c>
      <c r="F597" s="10" t="str">
        <f aca="false">TEXT(A597,"ddd")</f>
        <v>Mon</v>
      </c>
      <c r="G597" s="10" t="str">
        <f aca="false">IF(WEEKDAY(A597,2)&gt;5,"Yes","No")</f>
        <v>No</v>
      </c>
      <c r="H597" s="10"/>
    </row>
    <row r="598" customFormat="false" ht="15" hidden="false" customHeight="true" outlineLevel="0" collapsed="false">
      <c r="A598" s="11" t="n">
        <v>45888</v>
      </c>
      <c r="B598" s="10" t="n">
        <f aca="false">YEAR(A598)</f>
        <v>2025</v>
      </c>
      <c r="C598" s="10" t="n">
        <f aca="false">MONTH(A598)</f>
        <v>8</v>
      </c>
      <c r="D598" s="10" t="str">
        <f aca="false">TEXT(A598,"mmm")</f>
        <v>Aug</v>
      </c>
      <c r="E598" s="10" t="str">
        <f aca="false">"Q"&amp;ROUNDUP(C598/3,0)</f>
        <v>Q3</v>
      </c>
      <c r="F598" s="10" t="str">
        <f aca="false">TEXT(A598,"ddd")</f>
        <v>Tue</v>
      </c>
      <c r="G598" s="10" t="str">
        <f aca="false">IF(WEEKDAY(A598,2)&gt;5,"Yes","No")</f>
        <v>No</v>
      </c>
      <c r="H598" s="10"/>
    </row>
    <row r="599" customFormat="false" ht="15" hidden="false" customHeight="true" outlineLevel="0" collapsed="false">
      <c r="A599" s="11" t="n">
        <v>45889</v>
      </c>
      <c r="B599" s="10" t="n">
        <f aca="false">YEAR(A599)</f>
        <v>2025</v>
      </c>
      <c r="C599" s="10" t="n">
        <f aca="false">MONTH(A599)</f>
        <v>8</v>
      </c>
      <c r="D599" s="10" t="str">
        <f aca="false">TEXT(A599,"mmm")</f>
        <v>Aug</v>
      </c>
      <c r="E599" s="10" t="str">
        <f aca="false">"Q"&amp;ROUNDUP(C599/3,0)</f>
        <v>Q3</v>
      </c>
      <c r="F599" s="10" t="str">
        <f aca="false">TEXT(A599,"ddd")</f>
        <v>Wed</v>
      </c>
      <c r="G599" s="10" t="str">
        <f aca="false">IF(WEEKDAY(A599,2)&gt;5,"Yes","No")</f>
        <v>No</v>
      </c>
      <c r="H599" s="10"/>
    </row>
    <row r="600" customFormat="false" ht="15" hidden="false" customHeight="true" outlineLevel="0" collapsed="false">
      <c r="A600" s="11" t="n">
        <v>45890</v>
      </c>
      <c r="B600" s="10" t="n">
        <f aca="false">YEAR(A600)</f>
        <v>2025</v>
      </c>
      <c r="C600" s="10" t="n">
        <f aca="false">MONTH(A600)</f>
        <v>8</v>
      </c>
      <c r="D600" s="10" t="str">
        <f aca="false">TEXT(A600,"mmm")</f>
        <v>Aug</v>
      </c>
      <c r="E600" s="10" t="str">
        <f aca="false">"Q"&amp;ROUNDUP(C600/3,0)</f>
        <v>Q3</v>
      </c>
      <c r="F600" s="10" t="str">
        <f aca="false">TEXT(A600,"ddd")</f>
        <v>Thu</v>
      </c>
      <c r="G600" s="10" t="str">
        <f aca="false">IF(WEEKDAY(A600,2)&gt;5,"Yes","No")</f>
        <v>No</v>
      </c>
      <c r="H600" s="10"/>
    </row>
    <row r="601" customFormat="false" ht="15" hidden="false" customHeight="true" outlineLevel="0" collapsed="false">
      <c r="A601" s="11" t="n">
        <v>45891</v>
      </c>
      <c r="B601" s="10" t="n">
        <f aca="false">YEAR(A601)</f>
        <v>2025</v>
      </c>
      <c r="C601" s="10" t="n">
        <f aca="false">MONTH(A601)</f>
        <v>8</v>
      </c>
      <c r="D601" s="10" t="str">
        <f aca="false">TEXT(A601,"mmm")</f>
        <v>Aug</v>
      </c>
      <c r="E601" s="10" t="str">
        <f aca="false">"Q"&amp;ROUNDUP(C601/3,0)</f>
        <v>Q3</v>
      </c>
      <c r="F601" s="10" t="str">
        <f aca="false">TEXT(A601,"ddd")</f>
        <v>Fri</v>
      </c>
      <c r="G601" s="10" t="str">
        <f aca="false">IF(WEEKDAY(A601,2)&gt;5,"Yes","No")</f>
        <v>No</v>
      </c>
      <c r="H601" s="10"/>
    </row>
    <row r="602" customFormat="false" ht="15" hidden="false" customHeight="true" outlineLevel="0" collapsed="false">
      <c r="A602" s="11" t="n">
        <v>45892</v>
      </c>
      <c r="B602" s="10" t="n">
        <f aca="false">YEAR(A602)</f>
        <v>2025</v>
      </c>
      <c r="C602" s="10" t="n">
        <f aca="false">MONTH(A602)</f>
        <v>8</v>
      </c>
      <c r="D602" s="10" t="str">
        <f aca="false">TEXT(A602,"mmm")</f>
        <v>Aug</v>
      </c>
      <c r="E602" s="10" t="str">
        <f aca="false">"Q"&amp;ROUNDUP(C602/3,0)</f>
        <v>Q3</v>
      </c>
      <c r="F602" s="10" t="str">
        <f aca="false">TEXT(A602,"ddd")</f>
        <v>Sat</v>
      </c>
      <c r="G602" s="10" t="str">
        <f aca="false">IF(WEEKDAY(A602,2)&gt;5,"Yes","No")</f>
        <v>Yes</v>
      </c>
      <c r="H602" s="10"/>
    </row>
    <row r="603" customFormat="false" ht="15" hidden="false" customHeight="true" outlineLevel="0" collapsed="false">
      <c r="A603" s="11" t="n">
        <v>45893</v>
      </c>
      <c r="B603" s="10" t="n">
        <f aca="false">YEAR(A603)</f>
        <v>2025</v>
      </c>
      <c r="C603" s="10" t="n">
        <f aca="false">MONTH(A603)</f>
        <v>8</v>
      </c>
      <c r="D603" s="10" t="str">
        <f aca="false">TEXT(A603,"mmm")</f>
        <v>Aug</v>
      </c>
      <c r="E603" s="10" t="str">
        <f aca="false">"Q"&amp;ROUNDUP(C603/3,0)</f>
        <v>Q3</v>
      </c>
      <c r="F603" s="10" t="str">
        <f aca="false">TEXT(A603,"ddd")</f>
        <v>Sun</v>
      </c>
      <c r="G603" s="10" t="str">
        <f aca="false">IF(WEEKDAY(A603,2)&gt;5,"Yes","No")</f>
        <v>Yes</v>
      </c>
      <c r="H603" s="10"/>
    </row>
    <row r="604" customFormat="false" ht="15" hidden="false" customHeight="true" outlineLevel="0" collapsed="false">
      <c r="A604" s="11" t="n">
        <v>45894</v>
      </c>
      <c r="B604" s="10" t="n">
        <f aca="false">YEAR(A604)</f>
        <v>2025</v>
      </c>
      <c r="C604" s="10" t="n">
        <f aca="false">MONTH(A604)</f>
        <v>8</v>
      </c>
      <c r="D604" s="10" t="str">
        <f aca="false">TEXT(A604,"mmm")</f>
        <v>Aug</v>
      </c>
      <c r="E604" s="10" t="str">
        <f aca="false">"Q"&amp;ROUNDUP(C604/3,0)</f>
        <v>Q3</v>
      </c>
      <c r="F604" s="10" t="str">
        <f aca="false">TEXT(A604,"ddd")</f>
        <v>Mon</v>
      </c>
      <c r="G604" s="10" t="str">
        <f aca="false">IF(WEEKDAY(A604,2)&gt;5,"Yes","No")</f>
        <v>No</v>
      </c>
      <c r="H604" s="10"/>
    </row>
    <row r="605" customFormat="false" ht="15" hidden="false" customHeight="true" outlineLevel="0" collapsed="false">
      <c r="A605" s="11" t="n">
        <v>45895</v>
      </c>
      <c r="B605" s="10" t="n">
        <f aca="false">YEAR(A605)</f>
        <v>2025</v>
      </c>
      <c r="C605" s="10" t="n">
        <f aca="false">MONTH(A605)</f>
        <v>8</v>
      </c>
      <c r="D605" s="10" t="str">
        <f aca="false">TEXT(A605,"mmm")</f>
        <v>Aug</v>
      </c>
      <c r="E605" s="10" t="str">
        <f aca="false">"Q"&amp;ROUNDUP(C605/3,0)</f>
        <v>Q3</v>
      </c>
      <c r="F605" s="10" t="str">
        <f aca="false">TEXT(A605,"ddd")</f>
        <v>Tue</v>
      </c>
      <c r="G605" s="10" t="str">
        <f aca="false">IF(WEEKDAY(A605,2)&gt;5,"Yes","No")</f>
        <v>No</v>
      </c>
      <c r="H605" s="10"/>
    </row>
    <row r="606" customFormat="false" ht="15" hidden="false" customHeight="true" outlineLevel="0" collapsed="false">
      <c r="A606" s="11" t="n">
        <v>45896</v>
      </c>
      <c r="B606" s="10" t="n">
        <f aca="false">YEAR(A606)</f>
        <v>2025</v>
      </c>
      <c r="C606" s="10" t="n">
        <f aca="false">MONTH(A606)</f>
        <v>8</v>
      </c>
      <c r="D606" s="10" t="str">
        <f aca="false">TEXT(A606,"mmm")</f>
        <v>Aug</v>
      </c>
      <c r="E606" s="10" t="str">
        <f aca="false">"Q"&amp;ROUNDUP(C606/3,0)</f>
        <v>Q3</v>
      </c>
      <c r="F606" s="10" t="str">
        <f aca="false">TEXT(A606,"ddd")</f>
        <v>Wed</v>
      </c>
      <c r="G606" s="10" t="str">
        <f aca="false">IF(WEEKDAY(A606,2)&gt;5,"Yes","No")</f>
        <v>No</v>
      </c>
      <c r="H606" s="10"/>
    </row>
    <row r="607" customFormat="false" ht="15" hidden="false" customHeight="true" outlineLevel="0" collapsed="false">
      <c r="A607" s="11" t="n">
        <v>45897</v>
      </c>
      <c r="B607" s="10" t="n">
        <f aca="false">YEAR(A607)</f>
        <v>2025</v>
      </c>
      <c r="C607" s="10" t="n">
        <f aca="false">MONTH(A607)</f>
        <v>8</v>
      </c>
      <c r="D607" s="10" t="str">
        <f aca="false">TEXT(A607,"mmm")</f>
        <v>Aug</v>
      </c>
      <c r="E607" s="10" t="str">
        <f aca="false">"Q"&amp;ROUNDUP(C607/3,0)</f>
        <v>Q3</v>
      </c>
      <c r="F607" s="10" t="str">
        <f aca="false">TEXT(A607,"ddd")</f>
        <v>Thu</v>
      </c>
      <c r="G607" s="10" t="str">
        <f aca="false">IF(WEEKDAY(A607,2)&gt;5,"Yes","No")</f>
        <v>No</v>
      </c>
      <c r="H607" s="10"/>
    </row>
    <row r="608" customFormat="false" ht="15" hidden="false" customHeight="true" outlineLevel="0" collapsed="false">
      <c r="A608" s="11" t="n">
        <v>45898</v>
      </c>
      <c r="B608" s="10" t="n">
        <f aca="false">YEAR(A608)</f>
        <v>2025</v>
      </c>
      <c r="C608" s="10" t="n">
        <f aca="false">MONTH(A608)</f>
        <v>8</v>
      </c>
      <c r="D608" s="10" t="str">
        <f aca="false">TEXT(A608,"mmm")</f>
        <v>Aug</v>
      </c>
      <c r="E608" s="10" t="str">
        <f aca="false">"Q"&amp;ROUNDUP(C608/3,0)</f>
        <v>Q3</v>
      </c>
      <c r="F608" s="10" t="str">
        <f aca="false">TEXT(A608,"ddd")</f>
        <v>Fri</v>
      </c>
      <c r="G608" s="10" t="str">
        <f aca="false">IF(WEEKDAY(A608,2)&gt;5,"Yes","No")</f>
        <v>No</v>
      </c>
      <c r="H608" s="10"/>
    </row>
    <row r="609" customFormat="false" ht="15" hidden="false" customHeight="true" outlineLevel="0" collapsed="false">
      <c r="A609" s="11" t="n">
        <v>45899</v>
      </c>
      <c r="B609" s="10" t="n">
        <f aca="false">YEAR(A609)</f>
        <v>2025</v>
      </c>
      <c r="C609" s="10" t="n">
        <f aca="false">MONTH(A609)</f>
        <v>8</v>
      </c>
      <c r="D609" s="10" t="str">
        <f aca="false">TEXT(A609,"mmm")</f>
        <v>Aug</v>
      </c>
      <c r="E609" s="10" t="str">
        <f aca="false">"Q"&amp;ROUNDUP(C609/3,0)</f>
        <v>Q3</v>
      </c>
      <c r="F609" s="10" t="str">
        <f aca="false">TEXT(A609,"ddd")</f>
        <v>Sat</v>
      </c>
      <c r="G609" s="10" t="str">
        <f aca="false">IF(WEEKDAY(A609,2)&gt;5,"Yes","No")</f>
        <v>Yes</v>
      </c>
      <c r="H609" s="10"/>
    </row>
    <row r="610" customFormat="false" ht="15" hidden="false" customHeight="true" outlineLevel="0" collapsed="false">
      <c r="A610" s="11" t="n">
        <v>45900</v>
      </c>
      <c r="B610" s="10" t="n">
        <f aca="false">YEAR(A610)</f>
        <v>2025</v>
      </c>
      <c r="C610" s="10" t="n">
        <f aca="false">MONTH(A610)</f>
        <v>8</v>
      </c>
      <c r="D610" s="10" t="str">
        <f aca="false">TEXT(A610,"mmm")</f>
        <v>Aug</v>
      </c>
      <c r="E610" s="10" t="str">
        <f aca="false">"Q"&amp;ROUNDUP(C610/3,0)</f>
        <v>Q3</v>
      </c>
      <c r="F610" s="10" t="str">
        <f aca="false">TEXT(A610,"ddd")</f>
        <v>Sun</v>
      </c>
      <c r="G610" s="10" t="str">
        <f aca="false">IF(WEEKDAY(A610,2)&gt;5,"Yes","No")</f>
        <v>Yes</v>
      </c>
      <c r="H610" s="10"/>
    </row>
    <row r="611" customFormat="false" ht="15" hidden="false" customHeight="true" outlineLevel="0" collapsed="false">
      <c r="A611" s="11" t="n">
        <v>45901</v>
      </c>
      <c r="B611" s="10" t="n">
        <f aca="false">YEAR(A611)</f>
        <v>2025</v>
      </c>
      <c r="C611" s="10" t="n">
        <f aca="false">MONTH(A611)</f>
        <v>9</v>
      </c>
      <c r="D611" s="10" t="str">
        <f aca="false">TEXT(A611,"mmm")</f>
        <v>Sep</v>
      </c>
      <c r="E611" s="10" t="str">
        <f aca="false">"Q"&amp;ROUNDUP(C611/3,0)</f>
        <v>Q3</v>
      </c>
      <c r="F611" s="10" t="str">
        <f aca="false">TEXT(A611,"ddd")</f>
        <v>Mon</v>
      </c>
      <c r="G611" s="10" t="str">
        <f aca="false">IF(WEEKDAY(A611,2)&gt;5,"Yes","No")</f>
        <v>No</v>
      </c>
      <c r="H611" s="10"/>
    </row>
    <row r="612" customFormat="false" ht="15" hidden="false" customHeight="true" outlineLevel="0" collapsed="false">
      <c r="A612" s="11" t="n">
        <v>45902</v>
      </c>
      <c r="B612" s="10" t="n">
        <f aca="false">YEAR(A612)</f>
        <v>2025</v>
      </c>
      <c r="C612" s="10" t="n">
        <f aca="false">MONTH(A612)</f>
        <v>9</v>
      </c>
      <c r="D612" s="10" t="str">
        <f aca="false">TEXT(A612,"mmm")</f>
        <v>Sep</v>
      </c>
      <c r="E612" s="10" t="str">
        <f aca="false">"Q"&amp;ROUNDUP(C612/3,0)</f>
        <v>Q3</v>
      </c>
      <c r="F612" s="10" t="str">
        <f aca="false">TEXT(A612,"ddd")</f>
        <v>Tue</v>
      </c>
      <c r="G612" s="10" t="str">
        <f aca="false">IF(WEEKDAY(A612,2)&gt;5,"Yes","No")</f>
        <v>No</v>
      </c>
      <c r="H612" s="10"/>
    </row>
    <row r="613" customFormat="false" ht="15" hidden="false" customHeight="true" outlineLevel="0" collapsed="false">
      <c r="A613" s="11" t="n">
        <v>45903</v>
      </c>
      <c r="B613" s="10" t="n">
        <f aca="false">YEAR(A613)</f>
        <v>2025</v>
      </c>
      <c r="C613" s="10" t="n">
        <f aca="false">MONTH(A613)</f>
        <v>9</v>
      </c>
      <c r="D613" s="10" t="str">
        <f aca="false">TEXT(A613,"mmm")</f>
        <v>Sep</v>
      </c>
      <c r="E613" s="10" t="str">
        <f aca="false">"Q"&amp;ROUNDUP(C613/3,0)</f>
        <v>Q3</v>
      </c>
      <c r="F613" s="10" t="str">
        <f aca="false">TEXT(A613,"ddd")</f>
        <v>Wed</v>
      </c>
      <c r="G613" s="10" t="str">
        <f aca="false">IF(WEEKDAY(A613,2)&gt;5,"Yes","No")</f>
        <v>No</v>
      </c>
      <c r="H613" s="10"/>
    </row>
    <row r="614" customFormat="false" ht="15" hidden="false" customHeight="true" outlineLevel="0" collapsed="false">
      <c r="A614" s="11" t="n">
        <v>45904</v>
      </c>
      <c r="B614" s="10" t="n">
        <f aca="false">YEAR(A614)</f>
        <v>2025</v>
      </c>
      <c r="C614" s="10" t="n">
        <f aca="false">MONTH(A614)</f>
        <v>9</v>
      </c>
      <c r="D614" s="10" t="str">
        <f aca="false">TEXT(A614,"mmm")</f>
        <v>Sep</v>
      </c>
      <c r="E614" s="10" t="str">
        <f aca="false">"Q"&amp;ROUNDUP(C614/3,0)</f>
        <v>Q3</v>
      </c>
      <c r="F614" s="10" t="str">
        <f aca="false">TEXT(A614,"ddd")</f>
        <v>Thu</v>
      </c>
      <c r="G614" s="10" t="str">
        <f aca="false">IF(WEEKDAY(A614,2)&gt;5,"Yes","No")</f>
        <v>No</v>
      </c>
      <c r="H614" s="10"/>
    </row>
    <row r="615" customFormat="false" ht="15" hidden="false" customHeight="true" outlineLevel="0" collapsed="false">
      <c r="A615" s="11" t="n">
        <v>45905</v>
      </c>
      <c r="B615" s="10" t="n">
        <f aca="false">YEAR(A615)</f>
        <v>2025</v>
      </c>
      <c r="C615" s="10" t="n">
        <f aca="false">MONTH(A615)</f>
        <v>9</v>
      </c>
      <c r="D615" s="10" t="str">
        <f aca="false">TEXT(A615,"mmm")</f>
        <v>Sep</v>
      </c>
      <c r="E615" s="10" t="str">
        <f aca="false">"Q"&amp;ROUNDUP(C615/3,0)</f>
        <v>Q3</v>
      </c>
      <c r="F615" s="10" t="str">
        <f aca="false">TEXT(A615,"ddd")</f>
        <v>Fri</v>
      </c>
      <c r="G615" s="10" t="str">
        <f aca="false">IF(WEEKDAY(A615,2)&gt;5,"Yes","No")</f>
        <v>No</v>
      </c>
      <c r="H615" s="10"/>
    </row>
    <row r="616" customFormat="false" ht="15" hidden="false" customHeight="true" outlineLevel="0" collapsed="false">
      <c r="A616" s="11" t="n">
        <v>45906</v>
      </c>
      <c r="B616" s="10" t="n">
        <f aca="false">YEAR(A616)</f>
        <v>2025</v>
      </c>
      <c r="C616" s="10" t="n">
        <f aca="false">MONTH(A616)</f>
        <v>9</v>
      </c>
      <c r="D616" s="10" t="str">
        <f aca="false">TEXT(A616,"mmm")</f>
        <v>Sep</v>
      </c>
      <c r="E616" s="10" t="str">
        <f aca="false">"Q"&amp;ROUNDUP(C616/3,0)</f>
        <v>Q3</v>
      </c>
      <c r="F616" s="10" t="str">
        <f aca="false">TEXT(A616,"ddd")</f>
        <v>Sat</v>
      </c>
      <c r="G616" s="10" t="str">
        <f aca="false">IF(WEEKDAY(A616,2)&gt;5,"Yes","No")</f>
        <v>Yes</v>
      </c>
      <c r="H616" s="10"/>
    </row>
    <row r="617" customFormat="false" ht="15" hidden="false" customHeight="true" outlineLevel="0" collapsed="false">
      <c r="A617" s="11" t="n">
        <v>45907</v>
      </c>
      <c r="B617" s="10" t="n">
        <f aca="false">YEAR(A617)</f>
        <v>2025</v>
      </c>
      <c r="C617" s="10" t="n">
        <f aca="false">MONTH(A617)</f>
        <v>9</v>
      </c>
      <c r="D617" s="10" t="str">
        <f aca="false">TEXT(A617,"mmm")</f>
        <v>Sep</v>
      </c>
      <c r="E617" s="10" t="str">
        <f aca="false">"Q"&amp;ROUNDUP(C617/3,0)</f>
        <v>Q3</v>
      </c>
      <c r="F617" s="10" t="str">
        <f aca="false">TEXT(A617,"ddd")</f>
        <v>Sun</v>
      </c>
      <c r="G617" s="10" t="str">
        <f aca="false">IF(WEEKDAY(A617,2)&gt;5,"Yes","No")</f>
        <v>Yes</v>
      </c>
      <c r="H617" s="10"/>
    </row>
    <row r="618" customFormat="false" ht="15" hidden="false" customHeight="true" outlineLevel="0" collapsed="false">
      <c r="A618" s="11" t="n">
        <v>45908</v>
      </c>
      <c r="B618" s="10" t="n">
        <f aca="false">YEAR(A618)</f>
        <v>2025</v>
      </c>
      <c r="C618" s="10" t="n">
        <f aca="false">MONTH(A618)</f>
        <v>9</v>
      </c>
      <c r="D618" s="10" t="str">
        <f aca="false">TEXT(A618,"mmm")</f>
        <v>Sep</v>
      </c>
      <c r="E618" s="10" t="str">
        <f aca="false">"Q"&amp;ROUNDUP(C618/3,0)</f>
        <v>Q3</v>
      </c>
      <c r="F618" s="10" t="str">
        <f aca="false">TEXT(A618,"ddd")</f>
        <v>Mon</v>
      </c>
      <c r="G618" s="10" t="str">
        <f aca="false">IF(WEEKDAY(A618,2)&gt;5,"Yes","No")</f>
        <v>No</v>
      </c>
      <c r="H618" s="10"/>
    </row>
    <row r="619" customFormat="false" ht="15" hidden="false" customHeight="true" outlineLevel="0" collapsed="false">
      <c r="A619" s="11" t="n">
        <v>45909</v>
      </c>
      <c r="B619" s="10" t="n">
        <f aca="false">YEAR(A619)</f>
        <v>2025</v>
      </c>
      <c r="C619" s="10" t="n">
        <f aca="false">MONTH(A619)</f>
        <v>9</v>
      </c>
      <c r="D619" s="10" t="str">
        <f aca="false">TEXT(A619,"mmm")</f>
        <v>Sep</v>
      </c>
      <c r="E619" s="10" t="str">
        <f aca="false">"Q"&amp;ROUNDUP(C619/3,0)</f>
        <v>Q3</v>
      </c>
      <c r="F619" s="10" t="str">
        <f aca="false">TEXT(A619,"ddd")</f>
        <v>Tue</v>
      </c>
      <c r="G619" s="10" t="str">
        <f aca="false">IF(WEEKDAY(A619,2)&gt;5,"Yes","No")</f>
        <v>No</v>
      </c>
      <c r="H619" s="10"/>
    </row>
    <row r="620" customFormat="false" ht="15" hidden="false" customHeight="true" outlineLevel="0" collapsed="false">
      <c r="A620" s="11" t="n">
        <v>45910</v>
      </c>
      <c r="B620" s="10" t="n">
        <f aca="false">YEAR(A620)</f>
        <v>2025</v>
      </c>
      <c r="C620" s="10" t="n">
        <f aca="false">MONTH(A620)</f>
        <v>9</v>
      </c>
      <c r="D620" s="10" t="str">
        <f aca="false">TEXT(A620,"mmm")</f>
        <v>Sep</v>
      </c>
      <c r="E620" s="10" t="str">
        <f aca="false">"Q"&amp;ROUNDUP(C620/3,0)</f>
        <v>Q3</v>
      </c>
      <c r="F620" s="10" t="str">
        <f aca="false">TEXT(A620,"ddd")</f>
        <v>Wed</v>
      </c>
      <c r="G620" s="10" t="str">
        <f aca="false">IF(WEEKDAY(A620,2)&gt;5,"Yes","No")</f>
        <v>No</v>
      </c>
      <c r="H620" s="10"/>
    </row>
    <row r="621" customFormat="false" ht="15" hidden="false" customHeight="true" outlineLevel="0" collapsed="false">
      <c r="A621" s="11" t="n">
        <v>45911</v>
      </c>
      <c r="B621" s="10" t="n">
        <f aca="false">YEAR(A621)</f>
        <v>2025</v>
      </c>
      <c r="C621" s="10" t="n">
        <f aca="false">MONTH(A621)</f>
        <v>9</v>
      </c>
      <c r="D621" s="10" t="str">
        <f aca="false">TEXT(A621,"mmm")</f>
        <v>Sep</v>
      </c>
      <c r="E621" s="10" t="str">
        <f aca="false">"Q"&amp;ROUNDUP(C621/3,0)</f>
        <v>Q3</v>
      </c>
      <c r="F621" s="10" t="str">
        <f aca="false">TEXT(A621,"ddd")</f>
        <v>Thu</v>
      </c>
      <c r="G621" s="10" t="str">
        <f aca="false">IF(WEEKDAY(A621,2)&gt;5,"Yes","No")</f>
        <v>No</v>
      </c>
      <c r="H621" s="10"/>
    </row>
    <row r="622" customFormat="false" ht="15" hidden="false" customHeight="true" outlineLevel="0" collapsed="false">
      <c r="A622" s="11" t="n">
        <v>45912</v>
      </c>
      <c r="B622" s="10" t="n">
        <f aca="false">YEAR(A622)</f>
        <v>2025</v>
      </c>
      <c r="C622" s="10" t="n">
        <f aca="false">MONTH(A622)</f>
        <v>9</v>
      </c>
      <c r="D622" s="10" t="str">
        <f aca="false">TEXT(A622,"mmm")</f>
        <v>Sep</v>
      </c>
      <c r="E622" s="10" t="str">
        <f aca="false">"Q"&amp;ROUNDUP(C622/3,0)</f>
        <v>Q3</v>
      </c>
      <c r="F622" s="10" t="str">
        <f aca="false">TEXT(A622,"ddd")</f>
        <v>Fri</v>
      </c>
      <c r="G622" s="10" t="str">
        <f aca="false">IF(WEEKDAY(A622,2)&gt;5,"Yes","No")</f>
        <v>No</v>
      </c>
      <c r="H622" s="10"/>
    </row>
    <row r="623" customFormat="false" ht="15" hidden="false" customHeight="true" outlineLevel="0" collapsed="false">
      <c r="A623" s="11" t="n">
        <v>45913</v>
      </c>
      <c r="B623" s="10" t="n">
        <f aca="false">YEAR(A623)</f>
        <v>2025</v>
      </c>
      <c r="C623" s="10" t="n">
        <f aca="false">MONTH(A623)</f>
        <v>9</v>
      </c>
      <c r="D623" s="10" t="str">
        <f aca="false">TEXT(A623,"mmm")</f>
        <v>Sep</v>
      </c>
      <c r="E623" s="10" t="str">
        <f aca="false">"Q"&amp;ROUNDUP(C623/3,0)</f>
        <v>Q3</v>
      </c>
      <c r="F623" s="10" t="str">
        <f aca="false">TEXT(A623,"ddd")</f>
        <v>Sat</v>
      </c>
      <c r="G623" s="10" t="str">
        <f aca="false">IF(WEEKDAY(A623,2)&gt;5,"Yes","No")</f>
        <v>Yes</v>
      </c>
      <c r="H623" s="10"/>
    </row>
    <row r="624" customFormat="false" ht="15" hidden="false" customHeight="true" outlineLevel="0" collapsed="false">
      <c r="A624" s="11" t="n">
        <v>45914</v>
      </c>
      <c r="B624" s="10" t="n">
        <f aca="false">YEAR(A624)</f>
        <v>2025</v>
      </c>
      <c r="C624" s="10" t="n">
        <f aca="false">MONTH(A624)</f>
        <v>9</v>
      </c>
      <c r="D624" s="10" t="str">
        <f aca="false">TEXT(A624,"mmm")</f>
        <v>Sep</v>
      </c>
      <c r="E624" s="10" t="str">
        <f aca="false">"Q"&amp;ROUNDUP(C624/3,0)</f>
        <v>Q3</v>
      </c>
      <c r="F624" s="10" t="str">
        <f aca="false">TEXT(A624,"ddd")</f>
        <v>Sun</v>
      </c>
      <c r="G624" s="10" t="str">
        <f aca="false">IF(WEEKDAY(A624,2)&gt;5,"Yes","No")</f>
        <v>Yes</v>
      </c>
      <c r="H624" s="10"/>
    </row>
    <row r="625" customFormat="false" ht="15" hidden="false" customHeight="true" outlineLevel="0" collapsed="false">
      <c r="A625" s="11" t="n">
        <v>45915</v>
      </c>
      <c r="B625" s="10" t="n">
        <f aca="false">YEAR(A625)</f>
        <v>2025</v>
      </c>
      <c r="C625" s="10" t="n">
        <f aca="false">MONTH(A625)</f>
        <v>9</v>
      </c>
      <c r="D625" s="10" t="str">
        <f aca="false">TEXT(A625,"mmm")</f>
        <v>Sep</v>
      </c>
      <c r="E625" s="10" t="str">
        <f aca="false">"Q"&amp;ROUNDUP(C625/3,0)</f>
        <v>Q3</v>
      </c>
      <c r="F625" s="10" t="str">
        <f aca="false">TEXT(A625,"ddd")</f>
        <v>Mon</v>
      </c>
      <c r="G625" s="10" t="str">
        <f aca="false">IF(WEEKDAY(A625,2)&gt;5,"Yes","No")</f>
        <v>No</v>
      </c>
      <c r="H625" s="10"/>
    </row>
    <row r="626" customFormat="false" ht="15" hidden="false" customHeight="true" outlineLevel="0" collapsed="false">
      <c r="A626" s="11" t="n">
        <v>45916</v>
      </c>
      <c r="B626" s="10" t="n">
        <f aca="false">YEAR(A626)</f>
        <v>2025</v>
      </c>
      <c r="C626" s="10" t="n">
        <f aca="false">MONTH(A626)</f>
        <v>9</v>
      </c>
      <c r="D626" s="10" t="str">
        <f aca="false">TEXT(A626,"mmm")</f>
        <v>Sep</v>
      </c>
      <c r="E626" s="10" t="str">
        <f aca="false">"Q"&amp;ROUNDUP(C626/3,0)</f>
        <v>Q3</v>
      </c>
      <c r="F626" s="10" t="str">
        <f aca="false">TEXT(A626,"ddd")</f>
        <v>Tue</v>
      </c>
      <c r="G626" s="10" t="str">
        <f aca="false">IF(WEEKDAY(A626,2)&gt;5,"Yes","No")</f>
        <v>No</v>
      </c>
      <c r="H626" s="10"/>
    </row>
    <row r="627" customFormat="false" ht="15" hidden="false" customHeight="true" outlineLevel="0" collapsed="false">
      <c r="A627" s="11" t="n">
        <v>45917</v>
      </c>
      <c r="B627" s="10" t="n">
        <f aca="false">YEAR(A627)</f>
        <v>2025</v>
      </c>
      <c r="C627" s="10" t="n">
        <f aca="false">MONTH(A627)</f>
        <v>9</v>
      </c>
      <c r="D627" s="10" t="str">
        <f aca="false">TEXT(A627,"mmm")</f>
        <v>Sep</v>
      </c>
      <c r="E627" s="10" t="str">
        <f aca="false">"Q"&amp;ROUNDUP(C627/3,0)</f>
        <v>Q3</v>
      </c>
      <c r="F627" s="10" t="str">
        <f aca="false">TEXT(A627,"ddd")</f>
        <v>Wed</v>
      </c>
      <c r="G627" s="10" t="str">
        <f aca="false">IF(WEEKDAY(A627,2)&gt;5,"Yes","No")</f>
        <v>No</v>
      </c>
      <c r="H627" s="10"/>
    </row>
    <row r="628" customFormat="false" ht="15" hidden="false" customHeight="true" outlineLevel="0" collapsed="false">
      <c r="A628" s="11" t="n">
        <v>45918</v>
      </c>
      <c r="B628" s="10" t="n">
        <f aca="false">YEAR(A628)</f>
        <v>2025</v>
      </c>
      <c r="C628" s="10" t="n">
        <f aca="false">MONTH(A628)</f>
        <v>9</v>
      </c>
      <c r="D628" s="10" t="str">
        <f aca="false">TEXT(A628,"mmm")</f>
        <v>Sep</v>
      </c>
      <c r="E628" s="10" t="str">
        <f aca="false">"Q"&amp;ROUNDUP(C628/3,0)</f>
        <v>Q3</v>
      </c>
      <c r="F628" s="10" t="str">
        <f aca="false">TEXT(A628,"ddd")</f>
        <v>Thu</v>
      </c>
      <c r="G628" s="10" t="str">
        <f aca="false">IF(WEEKDAY(A628,2)&gt;5,"Yes","No")</f>
        <v>No</v>
      </c>
      <c r="H628" s="10"/>
    </row>
    <row r="629" customFormat="false" ht="15" hidden="false" customHeight="true" outlineLevel="0" collapsed="false">
      <c r="A629" s="11" t="n">
        <v>45919</v>
      </c>
      <c r="B629" s="10" t="n">
        <f aca="false">YEAR(A629)</f>
        <v>2025</v>
      </c>
      <c r="C629" s="10" t="n">
        <f aca="false">MONTH(A629)</f>
        <v>9</v>
      </c>
      <c r="D629" s="10" t="str">
        <f aca="false">TEXT(A629,"mmm")</f>
        <v>Sep</v>
      </c>
      <c r="E629" s="10" t="str">
        <f aca="false">"Q"&amp;ROUNDUP(C629/3,0)</f>
        <v>Q3</v>
      </c>
      <c r="F629" s="10" t="str">
        <f aca="false">TEXT(A629,"ddd")</f>
        <v>Fri</v>
      </c>
      <c r="G629" s="10" t="str">
        <f aca="false">IF(WEEKDAY(A629,2)&gt;5,"Yes","No")</f>
        <v>No</v>
      </c>
      <c r="H629" s="10"/>
    </row>
    <row r="630" customFormat="false" ht="15" hidden="false" customHeight="true" outlineLevel="0" collapsed="false">
      <c r="A630" s="11" t="n">
        <v>45920</v>
      </c>
      <c r="B630" s="10" t="n">
        <f aca="false">YEAR(A630)</f>
        <v>2025</v>
      </c>
      <c r="C630" s="10" t="n">
        <f aca="false">MONTH(A630)</f>
        <v>9</v>
      </c>
      <c r="D630" s="10" t="str">
        <f aca="false">TEXT(A630,"mmm")</f>
        <v>Sep</v>
      </c>
      <c r="E630" s="10" t="str">
        <f aca="false">"Q"&amp;ROUNDUP(C630/3,0)</f>
        <v>Q3</v>
      </c>
      <c r="F630" s="10" t="str">
        <f aca="false">TEXT(A630,"ddd")</f>
        <v>Sat</v>
      </c>
      <c r="G630" s="10" t="str">
        <f aca="false">IF(WEEKDAY(A630,2)&gt;5,"Yes","No")</f>
        <v>Yes</v>
      </c>
      <c r="H630" s="10"/>
    </row>
    <row r="631" customFormat="false" ht="15" hidden="false" customHeight="true" outlineLevel="0" collapsed="false">
      <c r="A631" s="11" t="n">
        <v>45921</v>
      </c>
      <c r="B631" s="10" t="n">
        <f aca="false">YEAR(A631)</f>
        <v>2025</v>
      </c>
      <c r="C631" s="10" t="n">
        <f aca="false">MONTH(A631)</f>
        <v>9</v>
      </c>
      <c r="D631" s="10" t="str">
        <f aca="false">TEXT(A631,"mmm")</f>
        <v>Sep</v>
      </c>
      <c r="E631" s="10" t="str">
        <f aca="false">"Q"&amp;ROUNDUP(C631/3,0)</f>
        <v>Q3</v>
      </c>
      <c r="F631" s="10" t="str">
        <f aca="false">TEXT(A631,"ddd")</f>
        <v>Sun</v>
      </c>
      <c r="G631" s="10" t="str">
        <f aca="false">IF(WEEKDAY(A631,2)&gt;5,"Yes","No")</f>
        <v>Yes</v>
      </c>
      <c r="H631" s="10"/>
    </row>
    <row r="632" customFormat="false" ht="15" hidden="false" customHeight="true" outlineLevel="0" collapsed="false">
      <c r="A632" s="11" t="n">
        <v>45922</v>
      </c>
      <c r="B632" s="10" t="n">
        <f aca="false">YEAR(A632)</f>
        <v>2025</v>
      </c>
      <c r="C632" s="10" t="n">
        <f aca="false">MONTH(A632)</f>
        <v>9</v>
      </c>
      <c r="D632" s="10" t="str">
        <f aca="false">TEXT(A632,"mmm")</f>
        <v>Sep</v>
      </c>
      <c r="E632" s="10" t="str">
        <f aca="false">"Q"&amp;ROUNDUP(C632/3,0)</f>
        <v>Q3</v>
      </c>
      <c r="F632" s="10" t="str">
        <f aca="false">TEXT(A632,"ddd")</f>
        <v>Mon</v>
      </c>
      <c r="G632" s="10" t="str">
        <f aca="false">IF(WEEKDAY(A632,2)&gt;5,"Yes","No")</f>
        <v>No</v>
      </c>
      <c r="H632" s="10"/>
    </row>
    <row r="633" customFormat="false" ht="15" hidden="false" customHeight="true" outlineLevel="0" collapsed="false">
      <c r="A633" s="11" t="n">
        <v>45923</v>
      </c>
      <c r="B633" s="10" t="n">
        <f aca="false">YEAR(A633)</f>
        <v>2025</v>
      </c>
      <c r="C633" s="10" t="n">
        <f aca="false">MONTH(A633)</f>
        <v>9</v>
      </c>
      <c r="D633" s="10" t="str">
        <f aca="false">TEXT(A633,"mmm")</f>
        <v>Sep</v>
      </c>
      <c r="E633" s="10" t="str">
        <f aca="false">"Q"&amp;ROUNDUP(C633/3,0)</f>
        <v>Q3</v>
      </c>
      <c r="F633" s="10" t="str">
        <f aca="false">TEXT(A633,"ddd")</f>
        <v>Tue</v>
      </c>
      <c r="G633" s="10" t="str">
        <f aca="false">IF(WEEKDAY(A633,2)&gt;5,"Yes","No")</f>
        <v>No</v>
      </c>
      <c r="H633" s="10"/>
    </row>
    <row r="634" customFormat="false" ht="15" hidden="false" customHeight="true" outlineLevel="0" collapsed="false">
      <c r="A634" s="11" t="n">
        <v>45924</v>
      </c>
      <c r="B634" s="10" t="n">
        <f aca="false">YEAR(A634)</f>
        <v>2025</v>
      </c>
      <c r="C634" s="10" t="n">
        <f aca="false">MONTH(A634)</f>
        <v>9</v>
      </c>
      <c r="D634" s="10" t="str">
        <f aca="false">TEXT(A634,"mmm")</f>
        <v>Sep</v>
      </c>
      <c r="E634" s="10" t="str">
        <f aca="false">"Q"&amp;ROUNDUP(C634/3,0)</f>
        <v>Q3</v>
      </c>
      <c r="F634" s="10" t="str">
        <f aca="false">TEXT(A634,"ddd")</f>
        <v>Wed</v>
      </c>
      <c r="G634" s="10" t="str">
        <f aca="false">IF(WEEKDAY(A634,2)&gt;5,"Yes","No")</f>
        <v>No</v>
      </c>
      <c r="H634" s="10" t="s">
        <v>1001</v>
      </c>
    </row>
    <row r="635" customFormat="false" ht="15" hidden="false" customHeight="true" outlineLevel="0" collapsed="false">
      <c r="A635" s="11" t="n">
        <v>45925</v>
      </c>
      <c r="B635" s="10" t="n">
        <f aca="false">YEAR(A635)</f>
        <v>2025</v>
      </c>
      <c r="C635" s="10" t="n">
        <f aca="false">MONTH(A635)</f>
        <v>9</v>
      </c>
      <c r="D635" s="10" t="str">
        <f aca="false">TEXT(A635,"mmm")</f>
        <v>Sep</v>
      </c>
      <c r="E635" s="10" t="str">
        <f aca="false">"Q"&amp;ROUNDUP(C635/3,0)</f>
        <v>Q3</v>
      </c>
      <c r="F635" s="10" t="str">
        <f aca="false">TEXT(A635,"ddd")</f>
        <v>Thu</v>
      </c>
      <c r="G635" s="10" t="str">
        <f aca="false">IF(WEEKDAY(A635,2)&gt;5,"Yes","No")</f>
        <v>No</v>
      </c>
      <c r="H635" s="10"/>
    </row>
    <row r="636" customFormat="false" ht="15" hidden="false" customHeight="true" outlineLevel="0" collapsed="false">
      <c r="A636" s="11" t="n">
        <v>45926</v>
      </c>
      <c r="B636" s="10" t="n">
        <f aca="false">YEAR(A636)</f>
        <v>2025</v>
      </c>
      <c r="C636" s="10" t="n">
        <f aca="false">MONTH(A636)</f>
        <v>9</v>
      </c>
      <c r="D636" s="10" t="str">
        <f aca="false">TEXT(A636,"mmm")</f>
        <v>Sep</v>
      </c>
      <c r="E636" s="10" t="str">
        <f aca="false">"Q"&amp;ROUNDUP(C636/3,0)</f>
        <v>Q3</v>
      </c>
      <c r="F636" s="10" t="str">
        <f aca="false">TEXT(A636,"ddd")</f>
        <v>Fri</v>
      </c>
      <c r="G636" s="10" t="str">
        <f aca="false">IF(WEEKDAY(A636,2)&gt;5,"Yes","No")</f>
        <v>No</v>
      </c>
      <c r="H636" s="10"/>
    </row>
    <row r="637" customFormat="false" ht="15" hidden="false" customHeight="true" outlineLevel="0" collapsed="false">
      <c r="A637" s="11" t="n">
        <v>45927</v>
      </c>
      <c r="B637" s="10" t="n">
        <f aca="false">YEAR(A637)</f>
        <v>2025</v>
      </c>
      <c r="C637" s="10" t="n">
        <f aca="false">MONTH(A637)</f>
        <v>9</v>
      </c>
      <c r="D637" s="10" t="str">
        <f aca="false">TEXT(A637,"mmm")</f>
        <v>Sep</v>
      </c>
      <c r="E637" s="10" t="str">
        <f aca="false">"Q"&amp;ROUNDUP(C637/3,0)</f>
        <v>Q3</v>
      </c>
      <c r="F637" s="10" t="str">
        <f aca="false">TEXT(A637,"ddd")</f>
        <v>Sat</v>
      </c>
      <c r="G637" s="10" t="str">
        <f aca="false">IF(WEEKDAY(A637,2)&gt;5,"Yes","No")</f>
        <v>Yes</v>
      </c>
      <c r="H637" s="10"/>
    </row>
    <row r="638" customFormat="false" ht="15" hidden="false" customHeight="true" outlineLevel="0" collapsed="false">
      <c r="A638" s="11" t="n">
        <v>45928</v>
      </c>
      <c r="B638" s="10" t="n">
        <f aca="false">YEAR(A638)</f>
        <v>2025</v>
      </c>
      <c r="C638" s="10" t="n">
        <f aca="false">MONTH(A638)</f>
        <v>9</v>
      </c>
      <c r="D638" s="10" t="str">
        <f aca="false">TEXT(A638,"mmm")</f>
        <v>Sep</v>
      </c>
      <c r="E638" s="10" t="str">
        <f aca="false">"Q"&amp;ROUNDUP(C638/3,0)</f>
        <v>Q3</v>
      </c>
      <c r="F638" s="10" t="str">
        <f aca="false">TEXT(A638,"ddd")</f>
        <v>Sun</v>
      </c>
      <c r="G638" s="10" t="str">
        <f aca="false">IF(WEEKDAY(A638,2)&gt;5,"Yes","No")</f>
        <v>Yes</v>
      </c>
      <c r="H638" s="10"/>
    </row>
    <row r="639" customFormat="false" ht="15" hidden="false" customHeight="true" outlineLevel="0" collapsed="false">
      <c r="A639" s="11" t="n">
        <v>45929</v>
      </c>
      <c r="B639" s="10" t="n">
        <f aca="false">YEAR(A639)</f>
        <v>2025</v>
      </c>
      <c r="C639" s="10" t="n">
        <f aca="false">MONTH(A639)</f>
        <v>9</v>
      </c>
      <c r="D639" s="10" t="str">
        <f aca="false">TEXT(A639,"mmm")</f>
        <v>Sep</v>
      </c>
      <c r="E639" s="10" t="str">
        <f aca="false">"Q"&amp;ROUNDUP(C639/3,0)</f>
        <v>Q3</v>
      </c>
      <c r="F639" s="10" t="str">
        <f aca="false">TEXT(A639,"ddd")</f>
        <v>Mon</v>
      </c>
      <c r="G639" s="10" t="str">
        <f aca="false">IF(WEEKDAY(A639,2)&gt;5,"Yes","No")</f>
        <v>No</v>
      </c>
      <c r="H639" s="10"/>
    </row>
    <row r="640" customFormat="false" ht="15" hidden="false" customHeight="true" outlineLevel="0" collapsed="false">
      <c r="A640" s="11" t="n">
        <v>45930</v>
      </c>
      <c r="B640" s="10" t="n">
        <f aca="false">YEAR(A640)</f>
        <v>2025</v>
      </c>
      <c r="C640" s="10" t="n">
        <f aca="false">MONTH(A640)</f>
        <v>9</v>
      </c>
      <c r="D640" s="10" t="str">
        <f aca="false">TEXT(A640,"mmm")</f>
        <v>Sep</v>
      </c>
      <c r="E640" s="10" t="str">
        <f aca="false">"Q"&amp;ROUNDUP(C640/3,0)</f>
        <v>Q3</v>
      </c>
      <c r="F640" s="10" t="str">
        <f aca="false">TEXT(A640,"ddd")</f>
        <v>Tue</v>
      </c>
      <c r="G640" s="10" t="str">
        <f aca="false">IF(WEEKDAY(A640,2)&gt;5,"Yes","No")</f>
        <v>No</v>
      </c>
      <c r="H640" s="10"/>
    </row>
    <row r="641" customFormat="false" ht="15" hidden="false" customHeight="true" outlineLevel="0" collapsed="false">
      <c r="A641" s="11" t="n">
        <v>45931</v>
      </c>
      <c r="B641" s="10" t="n">
        <f aca="false">YEAR(A641)</f>
        <v>2025</v>
      </c>
      <c r="C641" s="10" t="n">
        <f aca="false">MONTH(A641)</f>
        <v>10</v>
      </c>
      <c r="D641" s="10" t="str">
        <f aca="false">TEXT(A641,"mmm")</f>
        <v>Oct</v>
      </c>
      <c r="E641" s="10" t="str">
        <f aca="false">"Q"&amp;ROUNDUP(C641/3,0)</f>
        <v>Q4</v>
      </c>
      <c r="F641" s="10" t="str">
        <f aca="false">TEXT(A641,"ddd")</f>
        <v>Wed</v>
      </c>
      <c r="G641" s="10" t="str">
        <f aca="false">IF(WEEKDAY(A641,2)&gt;5,"Yes","No")</f>
        <v>No</v>
      </c>
      <c r="H641" s="10"/>
    </row>
    <row r="642" customFormat="false" ht="15" hidden="false" customHeight="true" outlineLevel="0" collapsed="false">
      <c r="A642" s="11" t="n">
        <v>45932</v>
      </c>
      <c r="B642" s="10" t="n">
        <f aca="false">YEAR(A642)</f>
        <v>2025</v>
      </c>
      <c r="C642" s="10" t="n">
        <f aca="false">MONTH(A642)</f>
        <v>10</v>
      </c>
      <c r="D642" s="10" t="str">
        <f aca="false">TEXT(A642,"mmm")</f>
        <v>Oct</v>
      </c>
      <c r="E642" s="10" t="str">
        <f aca="false">"Q"&amp;ROUNDUP(C642/3,0)</f>
        <v>Q4</v>
      </c>
      <c r="F642" s="10" t="str">
        <f aca="false">TEXT(A642,"ddd")</f>
        <v>Thu</v>
      </c>
      <c r="G642" s="10" t="str">
        <f aca="false">IF(WEEKDAY(A642,2)&gt;5,"Yes","No")</f>
        <v>No</v>
      </c>
      <c r="H642" s="10"/>
    </row>
    <row r="643" customFormat="false" ht="15" hidden="false" customHeight="true" outlineLevel="0" collapsed="false">
      <c r="A643" s="11" t="n">
        <v>45933</v>
      </c>
      <c r="B643" s="10" t="n">
        <f aca="false">YEAR(A643)</f>
        <v>2025</v>
      </c>
      <c r="C643" s="10" t="n">
        <f aca="false">MONTH(A643)</f>
        <v>10</v>
      </c>
      <c r="D643" s="10" t="str">
        <f aca="false">TEXT(A643,"mmm")</f>
        <v>Oct</v>
      </c>
      <c r="E643" s="10" t="str">
        <f aca="false">"Q"&amp;ROUNDUP(C643/3,0)</f>
        <v>Q4</v>
      </c>
      <c r="F643" s="10" t="str">
        <f aca="false">TEXT(A643,"ddd")</f>
        <v>Fri</v>
      </c>
      <c r="G643" s="10" t="str">
        <f aca="false">IF(WEEKDAY(A643,2)&gt;5,"Yes","No")</f>
        <v>No</v>
      </c>
      <c r="H643" s="10"/>
    </row>
    <row r="644" customFormat="false" ht="15" hidden="false" customHeight="true" outlineLevel="0" collapsed="false">
      <c r="A644" s="11" t="n">
        <v>45934</v>
      </c>
      <c r="B644" s="10" t="n">
        <f aca="false">YEAR(A644)</f>
        <v>2025</v>
      </c>
      <c r="C644" s="10" t="n">
        <f aca="false">MONTH(A644)</f>
        <v>10</v>
      </c>
      <c r="D644" s="10" t="str">
        <f aca="false">TEXT(A644,"mmm")</f>
        <v>Oct</v>
      </c>
      <c r="E644" s="10" t="str">
        <f aca="false">"Q"&amp;ROUNDUP(C644/3,0)</f>
        <v>Q4</v>
      </c>
      <c r="F644" s="10" t="str">
        <f aca="false">TEXT(A644,"ddd")</f>
        <v>Sat</v>
      </c>
      <c r="G644" s="10" t="str">
        <f aca="false">IF(WEEKDAY(A644,2)&gt;5,"Yes","No")</f>
        <v>Yes</v>
      </c>
      <c r="H644" s="10"/>
    </row>
    <row r="645" customFormat="false" ht="15" hidden="false" customHeight="true" outlineLevel="0" collapsed="false">
      <c r="A645" s="11" t="n">
        <v>45935</v>
      </c>
      <c r="B645" s="10" t="n">
        <f aca="false">YEAR(A645)</f>
        <v>2025</v>
      </c>
      <c r="C645" s="10" t="n">
        <f aca="false">MONTH(A645)</f>
        <v>10</v>
      </c>
      <c r="D645" s="10" t="str">
        <f aca="false">TEXT(A645,"mmm")</f>
        <v>Oct</v>
      </c>
      <c r="E645" s="10" t="str">
        <f aca="false">"Q"&amp;ROUNDUP(C645/3,0)</f>
        <v>Q4</v>
      </c>
      <c r="F645" s="10" t="str">
        <f aca="false">TEXT(A645,"ddd")</f>
        <v>Sun</v>
      </c>
      <c r="G645" s="10" t="str">
        <f aca="false">IF(WEEKDAY(A645,2)&gt;5,"Yes","No")</f>
        <v>Yes</v>
      </c>
      <c r="H645" s="10"/>
    </row>
    <row r="646" customFormat="false" ht="15" hidden="false" customHeight="true" outlineLevel="0" collapsed="false">
      <c r="A646" s="11" t="n">
        <v>45936</v>
      </c>
      <c r="B646" s="10" t="n">
        <f aca="false">YEAR(A646)</f>
        <v>2025</v>
      </c>
      <c r="C646" s="10" t="n">
        <f aca="false">MONTH(A646)</f>
        <v>10</v>
      </c>
      <c r="D646" s="10" t="str">
        <f aca="false">TEXT(A646,"mmm")</f>
        <v>Oct</v>
      </c>
      <c r="E646" s="10" t="str">
        <f aca="false">"Q"&amp;ROUNDUP(C646/3,0)</f>
        <v>Q4</v>
      </c>
      <c r="F646" s="10" t="str">
        <f aca="false">TEXT(A646,"ddd")</f>
        <v>Mon</v>
      </c>
      <c r="G646" s="10" t="str">
        <f aca="false">IF(WEEKDAY(A646,2)&gt;5,"Yes","No")</f>
        <v>No</v>
      </c>
      <c r="H646" s="10"/>
    </row>
    <row r="647" customFormat="false" ht="15" hidden="false" customHeight="true" outlineLevel="0" collapsed="false">
      <c r="A647" s="11" t="n">
        <v>45937</v>
      </c>
      <c r="B647" s="10" t="n">
        <f aca="false">YEAR(A647)</f>
        <v>2025</v>
      </c>
      <c r="C647" s="10" t="n">
        <f aca="false">MONTH(A647)</f>
        <v>10</v>
      </c>
      <c r="D647" s="10" t="str">
        <f aca="false">TEXT(A647,"mmm")</f>
        <v>Oct</v>
      </c>
      <c r="E647" s="10" t="str">
        <f aca="false">"Q"&amp;ROUNDUP(C647/3,0)</f>
        <v>Q4</v>
      </c>
      <c r="F647" s="10" t="str">
        <f aca="false">TEXT(A647,"ddd")</f>
        <v>Tue</v>
      </c>
      <c r="G647" s="10" t="str">
        <f aca="false">IF(WEEKDAY(A647,2)&gt;5,"Yes","No")</f>
        <v>No</v>
      </c>
      <c r="H647" s="10"/>
    </row>
    <row r="648" customFormat="false" ht="15" hidden="false" customHeight="true" outlineLevel="0" collapsed="false">
      <c r="A648" s="11" t="n">
        <v>45938</v>
      </c>
      <c r="B648" s="10" t="n">
        <f aca="false">YEAR(A648)</f>
        <v>2025</v>
      </c>
      <c r="C648" s="10" t="n">
        <f aca="false">MONTH(A648)</f>
        <v>10</v>
      </c>
      <c r="D648" s="10" t="str">
        <f aca="false">TEXT(A648,"mmm")</f>
        <v>Oct</v>
      </c>
      <c r="E648" s="10" t="str">
        <f aca="false">"Q"&amp;ROUNDUP(C648/3,0)</f>
        <v>Q4</v>
      </c>
      <c r="F648" s="10" t="str">
        <f aca="false">TEXT(A648,"ddd")</f>
        <v>Wed</v>
      </c>
      <c r="G648" s="10" t="str">
        <f aca="false">IF(WEEKDAY(A648,2)&gt;5,"Yes","No")</f>
        <v>No</v>
      </c>
      <c r="H648" s="10"/>
    </row>
    <row r="649" customFormat="false" ht="15" hidden="false" customHeight="true" outlineLevel="0" collapsed="false">
      <c r="A649" s="11" t="n">
        <v>45939</v>
      </c>
      <c r="B649" s="10" t="n">
        <f aca="false">YEAR(A649)</f>
        <v>2025</v>
      </c>
      <c r="C649" s="10" t="n">
        <f aca="false">MONTH(A649)</f>
        <v>10</v>
      </c>
      <c r="D649" s="10" t="str">
        <f aca="false">TEXT(A649,"mmm")</f>
        <v>Oct</v>
      </c>
      <c r="E649" s="10" t="str">
        <f aca="false">"Q"&amp;ROUNDUP(C649/3,0)</f>
        <v>Q4</v>
      </c>
      <c r="F649" s="10" t="str">
        <f aca="false">TEXT(A649,"ddd")</f>
        <v>Thu</v>
      </c>
      <c r="G649" s="10" t="str">
        <f aca="false">IF(WEEKDAY(A649,2)&gt;5,"Yes","No")</f>
        <v>No</v>
      </c>
      <c r="H649" s="10"/>
    </row>
    <row r="650" customFormat="false" ht="15" hidden="false" customHeight="true" outlineLevel="0" collapsed="false">
      <c r="A650" s="11" t="n">
        <v>45940</v>
      </c>
      <c r="B650" s="10" t="n">
        <f aca="false">YEAR(A650)</f>
        <v>2025</v>
      </c>
      <c r="C650" s="10" t="n">
        <f aca="false">MONTH(A650)</f>
        <v>10</v>
      </c>
      <c r="D650" s="10" t="str">
        <f aca="false">TEXT(A650,"mmm")</f>
        <v>Oct</v>
      </c>
      <c r="E650" s="10" t="str">
        <f aca="false">"Q"&amp;ROUNDUP(C650/3,0)</f>
        <v>Q4</v>
      </c>
      <c r="F650" s="10" t="str">
        <f aca="false">TEXT(A650,"ddd")</f>
        <v>Fri</v>
      </c>
      <c r="G650" s="10" t="str">
        <f aca="false">IF(WEEKDAY(A650,2)&gt;5,"Yes","No")</f>
        <v>No</v>
      </c>
      <c r="H650" s="10"/>
    </row>
    <row r="651" customFormat="false" ht="15" hidden="false" customHeight="true" outlineLevel="0" collapsed="false">
      <c r="A651" s="11" t="n">
        <v>45941</v>
      </c>
      <c r="B651" s="10" t="n">
        <f aca="false">YEAR(A651)</f>
        <v>2025</v>
      </c>
      <c r="C651" s="10" t="n">
        <f aca="false">MONTH(A651)</f>
        <v>10</v>
      </c>
      <c r="D651" s="10" t="str">
        <f aca="false">TEXT(A651,"mmm")</f>
        <v>Oct</v>
      </c>
      <c r="E651" s="10" t="str">
        <f aca="false">"Q"&amp;ROUNDUP(C651/3,0)</f>
        <v>Q4</v>
      </c>
      <c r="F651" s="10" t="str">
        <f aca="false">TEXT(A651,"ddd")</f>
        <v>Sat</v>
      </c>
      <c r="G651" s="10" t="str">
        <f aca="false">IF(WEEKDAY(A651,2)&gt;5,"Yes","No")</f>
        <v>Yes</v>
      </c>
      <c r="H651" s="10"/>
    </row>
    <row r="652" customFormat="false" ht="15" hidden="false" customHeight="true" outlineLevel="0" collapsed="false">
      <c r="A652" s="11" t="n">
        <v>45942</v>
      </c>
      <c r="B652" s="10" t="n">
        <f aca="false">YEAR(A652)</f>
        <v>2025</v>
      </c>
      <c r="C652" s="10" t="n">
        <f aca="false">MONTH(A652)</f>
        <v>10</v>
      </c>
      <c r="D652" s="10" t="str">
        <f aca="false">TEXT(A652,"mmm")</f>
        <v>Oct</v>
      </c>
      <c r="E652" s="10" t="str">
        <f aca="false">"Q"&amp;ROUNDUP(C652/3,0)</f>
        <v>Q4</v>
      </c>
      <c r="F652" s="10" t="str">
        <f aca="false">TEXT(A652,"ddd")</f>
        <v>Sun</v>
      </c>
      <c r="G652" s="10" t="str">
        <f aca="false">IF(WEEKDAY(A652,2)&gt;5,"Yes","No")</f>
        <v>Yes</v>
      </c>
      <c r="H652" s="10"/>
    </row>
    <row r="653" customFormat="false" ht="15" hidden="false" customHeight="true" outlineLevel="0" collapsed="false">
      <c r="A653" s="11" t="n">
        <v>45943</v>
      </c>
      <c r="B653" s="10" t="n">
        <f aca="false">YEAR(A653)</f>
        <v>2025</v>
      </c>
      <c r="C653" s="10" t="n">
        <f aca="false">MONTH(A653)</f>
        <v>10</v>
      </c>
      <c r="D653" s="10" t="str">
        <f aca="false">TEXT(A653,"mmm")</f>
        <v>Oct</v>
      </c>
      <c r="E653" s="10" t="str">
        <f aca="false">"Q"&amp;ROUNDUP(C653/3,0)</f>
        <v>Q4</v>
      </c>
      <c r="F653" s="10" t="str">
        <f aca="false">TEXT(A653,"ddd")</f>
        <v>Mon</v>
      </c>
      <c r="G653" s="10" t="str">
        <f aca="false">IF(WEEKDAY(A653,2)&gt;5,"Yes","No")</f>
        <v>No</v>
      </c>
      <c r="H653" s="10"/>
    </row>
    <row r="654" customFormat="false" ht="15" hidden="false" customHeight="true" outlineLevel="0" collapsed="false">
      <c r="A654" s="11" t="n">
        <v>45944</v>
      </c>
      <c r="B654" s="10" t="n">
        <f aca="false">YEAR(A654)</f>
        <v>2025</v>
      </c>
      <c r="C654" s="10" t="n">
        <f aca="false">MONTH(A654)</f>
        <v>10</v>
      </c>
      <c r="D654" s="10" t="str">
        <f aca="false">TEXT(A654,"mmm")</f>
        <v>Oct</v>
      </c>
      <c r="E654" s="10" t="str">
        <f aca="false">"Q"&amp;ROUNDUP(C654/3,0)</f>
        <v>Q4</v>
      </c>
      <c r="F654" s="10" t="str">
        <f aca="false">TEXT(A654,"ddd")</f>
        <v>Tue</v>
      </c>
      <c r="G654" s="10" t="str">
        <f aca="false">IF(WEEKDAY(A654,2)&gt;5,"Yes","No")</f>
        <v>No</v>
      </c>
      <c r="H654" s="10"/>
    </row>
    <row r="655" customFormat="false" ht="15" hidden="false" customHeight="true" outlineLevel="0" collapsed="false">
      <c r="A655" s="11" t="n">
        <v>45945</v>
      </c>
      <c r="B655" s="10" t="n">
        <f aca="false">YEAR(A655)</f>
        <v>2025</v>
      </c>
      <c r="C655" s="10" t="n">
        <f aca="false">MONTH(A655)</f>
        <v>10</v>
      </c>
      <c r="D655" s="10" t="str">
        <f aca="false">TEXT(A655,"mmm")</f>
        <v>Oct</v>
      </c>
      <c r="E655" s="10" t="str">
        <f aca="false">"Q"&amp;ROUNDUP(C655/3,0)</f>
        <v>Q4</v>
      </c>
      <c r="F655" s="10" t="str">
        <f aca="false">TEXT(A655,"ddd")</f>
        <v>Wed</v>
      </c>
      <c r="G655" s="10" t="str">
        <f aca="false">IF(WEEKDAY(A655,2)&gt;5,"Yes","No")</f>
        <v>No</v>
      </c>
      <c r="H655" s="10"/>
    </row>
    <row r="656" customFormat="false" ht="15" hidden="false" customHeight="true" outlineLevel="0" collapsed="false">
      <c r="A656" s="11" t="n">
        <v>45946</v>
      </c>
      <c r="B656" s="10" t="n">
        <f aca="false">YEAR(A656)</f>
        <v>2025</v>
      </c>
      <c r="C656" s="10" t="n">
        <f aca="false">MONTH(A656)</f>
        <v>10</v>
      </c>
      <c r="D656" s="10" t="str">
        <f aca="false">TEXT(A656,"mmm")</f>
        <v>Oct</v>
      </c>
      <c r="E656" s="10" t="str">
        <f aca="false">"Q"&amp;ROUNDUP(C656/3,0)</f>
        <v>Q4</v>
      </c>
      <c r="F656" s="10" t="str">
        <f aca="false">TEXT(A656,"ddd")</f>
        <v>Thu</v>
      </c>
      <c r="G656" s="10" t="str">
        <f aca="false">IF(WEEKDAY(A656,2)&gt;5,"Yes","No")</f>
        <v>No</v>
      </c>
      <c r="H656" s="10"/>
    </row>
    <row r="657" customFormat="false" ht="15" hidden="false" customHeight="true" outlineLevel="0" collapsed="false">
      <c r="A657" s="11" t="n">
        <v>45947</v>
      </c>
      <c r="B657" s="10" t="n">
        <f aca="false">YEAR(A657)</f>
        <v>2025</v>
      </c>
      <c r="C657" s="10" t="n">
        <f aca="false">MONTH(A657)</f>
        <v>10</v>
      </c>
      <c r="D657" s="10" t="str">
        <f aca="false">TEXT(A657,"mmm")</f>
        <v>Oct</v>
      </c>
      <c r="E657" s="10" t="str">
        <f aca="false">"Q"&amp;ROUNDUP(C657/3,0)</f>
        <v>Q4</v>
      </c>
      <c r="F657" s="10" t="str">
        <f aca="false">TEXT(A657,"ddd")</f>
        <v>Fri</v>
      </c>
      <c r="G657" s="10" t="str">
        <f aca="false">IF(WEEKDAY(A657,2)&gt;5,"Yes","No")</f>
        <v>No</v>
      </c>
      <c r="H657" s="10"/>
    </row>
    <row r="658" customFormat="false" ht="15" hidden="false" customHeight="true" outlineLevel="0" collapsed="false">
      <c r="A658" s="11" t="n">
        <v>45948</v>
      </c>
      <c r="B658" s="10" t="n">
        <f aca="false">YEAR(A658)</f>
        <v>2025</v>
      </c>
      <c r="C658" s="10" t="n">
        <f aca="false">MONTH(A658)</f>
        <v>10</v>
      </c>
      <c r="D658" s="10" t="str">
        <f aca="false">TEXT(A658,"mmm")</f>
        <v>Oct</v>
      </c>
      <c r="E658" s="10" t="str">
        <f aca="false">"Q"&amp;ROUNDUP(C658/3,0)</f>
        <v>Q4</v>
      </c>
      <c r="F658" s="10" t="str">
        <f aca="false">TEXT(A658,"ddd")</f>
        <v>Sat</v>
      </c>
      <c r="G658" s="10" t="str">
        <f aca="false">IF(WEEKDAY(A658,2)&gt;5,"Yes","No")</f>
        <v>Yes</v>
      </c>
      <c r="H658" s="10"/>
    </row>
    <row r="659" customFormat="false" ht="15" hidden="false" customHeight="true" outlineLevel="0" collapsed="false">
      <c r="A659" s="11" t="n">
        <v>45949</v>
      </c>
      <c r="B659" s="10" t="n">
        <f aca="false">YEAR(A659)</f>
        <v>2025</v>
      </c>
      <c r="C659" s="10" t="n">
        <f aca="false">MONTH(A659)</f>
        <v>10</v>
      </c>
      <c r="D659" s="10" t="str">
        <f aca="false">TEXT(A659,"mmm")</f>
        <v>Oct</v>
      </c>
      <c r="E659" s="10" t="str">
        <f aca="false">"Q"&amp;ROUNDUP(C659/3,0)</f>
        <v>Q4</v>
      </c>
      <c r="F659" s="10" t="str">
        <f aca="false">TEXT(A659,"ddd")</f>
        <v>Sun</v>
      </c>
      <c r="G659" s="10" t="str">
        <f aca="false">IF(WEEKDAY(A659,2)&gt;5,"Yes","No")</f>
        <v>Yes</v>
      </c>
      <c r="H659" s="10"/>
    </row>
    <row r="660" customFormat="false" ht="15" hidden="false" customHeight="true" outlineLevel="0" collapsed="false">
      <c r="A660" s="11" t="n">
        <v>45950</v>
      </c>
      <c r="B660" s="10" t="n">
        <f aca="false">YEAR(A660)</f>
        <v>2025</v>
      </c>
      <c r="C660" s="10" t="n">
        <f aca="false">MONTH(A660)</f>
        <v>10</v>
      </c>
      <c r="D660" s="10" t="str">
        <f aca="false">TEXT(A660,"mmm")</f>
        <v>Oct</v>
      </c>
      <c r="E660" s="10" t="str">
        <f aca="false">"Q"&amp;ROUNDUP(C660/3,0)</f>
        <v>Q4</v>
      </c>
      <c r="F660" s="10" t="str">
        <f aca="false">TEXT(A660,"ddd")</f>
        <v>Mon</v>
      </c>
      <c r="G660" s="10" t="str">
        <f aca="false">IF(WEEKDAY(A660,2)&gt;5,"Yes","No")</f>
        <v>No</v>
      </c>
      <c r="H660" s="10"/>
    </row>
    <row r="661" customFormat="false" ht="15" hidden="false" customHeight="true" outlineLevel="0" collapsed="false">
      <c r="A661" s="11" t="n">
        <v>45951</v>
      </c>
      <c r="B661" s="10" t="n">
        <f aca="false">YEAR(A661)</f>
        <v>2025</v>
      </c>
      <c r="C661" s="10" t="n">
        <f aca="false">MONTH(A661)</f>
        <v>10</v>
      </c>
      <c r="D661" s="10" t="str">
        <f aca="false">TEXT(A661,"mmm")</f>
        <v>Oct</v>
      </c>
      <c r="E661" s="10" t="str">
        <f aca="false">"Q"&amp;ROUNDUP(C661/3,0)</f>
        <v>Q4</v>
      </c>
      <c r="F661" s="10" t="str">
        <f aca="false">TEXT(A661,"ddd")</f>
        <v>Tue</v>
      </c>
      <c r="G661" s="10" t="str">
        <f aca="false">IF(WEEKDAY(A661,2)&gt;5,"Yes","No")</f>
        <v>No</v>
      </c>
      <c r="H661" s="10"/>
    </row>
    <row r="662" customFormat="false" ht="15" hidden="false" customHeight="true" outlineLevel="0" collapsed="false">
      <c r="A662" s="11" t="n">
        <v>45952</v>
      </c>
      <c r="B662" s="10" t="n">
        <f aca="false">YEAR(A662)</f>
        <v>2025</v>
      </c>
      <c r="C662" s="10" t="n">
        <f aca="false">MONTH(A662)</f>
        <v>10</v>
      </c>
      <c r="D662" s="10" t="str">
        <f aca="false">TEXT(A662,"mmm")</f>
        <v>Oct</v>
      </c>
      <c r="E662" s="10" t="str">
        <f aca="false">"Q"&amp;ROUNDUP(C662/3,0)</f>
        <v>Q4</v>
      </c>
      <c r="F662" s="10" t="str">
        <f aca="false">TEXT(A662,"ddd")</f>
        <v>Wed</v>
      </c>
      <c r="G662" s="10" t="str">
        <f aca="false">IF(WEEKDAY(A662,2)&gt;5,"Yes","No")</f>
        <v>No</v>
      </c>
      <c r="H662" s="10"/>
    </row>
    <row r="663" customFormat="false" ht="15" hidden="false" customHeight="true" outlineLevel="0" collapsed="false">
      <c r="A663" s="11" t="n">
        <v>45953</v>
      </c>
      <c r="B663" s="10" t="n">
        <f aca="false">YEAR(A663)</f>
        <v>2025</v>
      </c>
      <c r="C663" s="10" t="n">
        <f aca="false">MONTH(A663)</f>
        <v>10</v>
      </c>
      <c r="D663" s="10" t="str">
        <f aca="false">TEXT(A663,"mmm")</f>
        <v>Oct</v>
      </c>
      <c r="E663" s="10" t="str">
        <f aca="false">"Q"&amp;ROUNDUP(C663/3,0)</f>
        <v>Q4</v>
      </c>
      <c r="F663" s="10" t="str">
        <f aca="false">TEXT(A663,"ddd")</f>
        <v>Thu</v>
      </c>
      <c r="G663" s="10" t="str">
        <f aca="false">IF(WEEKDAY(A663,2)&gt;5,"Yes","No")</f>
        <v>No</v>
      </c>
      <c r="H663" s="10"/>
    </row>
    <row r="664" customFormat="false" ht="15" hidden="false" customHeight="true" outlineLevel="0" collapsed="false">
      <c r="A664" s="11" t="n">
        <v>45954</v>
      </c>
      <c r="B664" s="10" t="n">
        <f aca="false">YEAR(A664)</f>
        <v>2025</v>
      </c>
      <c r="C664" s="10" t="n">
        <f aca="false">MONTH(A664)</f>
        <v>10</v>
      </c>
      <c r="D664" s="10" t="str">
        <f aca="false">TEXT(A664,"mmm")</f>
        <v>Oct</v>
      </c>
      <c r="E664" s="10" t="str">
        <f aca="false">"Q"&amp;ROUNDUP(C664/3,0)</f>
        <v>Q4</v>
      </c>
      <c r="F664" s="10" t="str">
        <f aca="false">TEXT(A664,"ddd")</f>
        <v>Fri</v>
      </c>
      <c r="G664" s="10" t="str">
        <f aca="false">IF(WEEKDAY(A664,2)&gt;5,"Yes","No")</f>
        <v>No</v>
      </c>
      <c r="H664" s="10"/>
    </row>
    <row r="665" customFormat="false" ht="15" hidden="false" customHeight="true" outlineLevel="0" collapsed="false">
      <c r="A665" s="11" t="n">
        <v>45955</v>
      </c>
      <c r="B665" s="10" t="n">
        <f aca="false">YEAR(A665)</f>
        <v>2025</v>
      </c>
      <c r="C665" s="10" t="n">
        <f aca="false">MONTH(A665)</f>
        <v>10</v>
      </c>
      <c r="D665" s="10" t="str">
        <f aca="false">TEXT(A665,"mmm")</f>
        <v>Oct</v>
      </c>
      <c r="E665" s="10" t="str">
        <f aca="false">"Q"&amp;ROUNDUP(C665/3,0)</f>
        <v>Q4</v>
      </c>
      <c r="F665" s="10" t="str">
        <f aca="false">TEXT(A665,"ddd")</f>
        <v>Sat</v>
      </c>
      <c r="G665" s="10" t="str">
        <f aca="false">IF(WEEKDAY(A665,2)&gt;5,"Yes","No")</f>
        <v>Yes</v>
      </c>
      <c r="H665" s="10"/>
    </row>
    <row r="666" customFormat="false" ht="15" hidden="false" customHeight="true" outlineLevel="0" collapsed="false">
      <c r="A666" s="11" t="n">
        <v>45956</v>
      </c>
      <c r="B666" s="10" t="n">
        <f aca="false">YEAR(A666)</f>
        <v>2025</v>
      </c>
      <c r="C666" s="10" t="n">
        <f aca="false">MONTH(A666)</f>
        <v>10</v>
      </c>
      <c r="D666" s="10" t="str">
        <f aca="false">TEXT(A666,"mmm")</f>
        <v>Oct</v>
      </c>
      <c r="E666" s="10" t="str">
        <f aca="false">"Q"&amp;ROUNDUP(C666/3,0)</f>
        <v>Q4</v>
      </c>
      <c r="F666" s="10" t="str">
        <f aca="false">TEXT(A666,"ddd")</f>
        <v>Sun</v>
      </c>
      <c r="G666" s="10" t="str">
        <f aca="false">IF(WEEKDAY(A666,2)&gt;5,"Yes","No")</f>
        <v>Yes</v>
      </c>
      <c r="H666" s="10"/>
    </row>
    <row r="667" customFormat="false" ht="15" hidden="false" customHeight="true" outlineLevel="0" collapsed="false">
      <c r="A667" s="11" t="n">
        <v>45957</v>
      </c>
      <c r="B667" s="10" t="n">
        <f aca="false">YEAR(A667)</f>
        <v>2025</v>
      </c>
      <c r="C667" s="10" t="n">
        <f aca="false">MONTH(A667)</f>
        <v>10</v>
      </c>
      <c r="D667" s="10" t="str">
        <f aca="false">TEXT(A667,"mmm")</f>
        <v>Oct</v>
      </c>
      <c r="E667" s="10" t="str">
        <f aca="false">"Q"&amp;ROUNDUP(C667/3,0)</f>
        <v>Q4</v>
      </c>
      <c r="F667" s="10" t="str">
        <f aca="false">TEXT(A667,"ddd")</f>
        <v>Mon</v>
      </c>
      <c r="G667" s="10" t="str">
        <f aca="false">IF(WEEKDAY(A667,2)&gt;5,"Yes","No")</f>
        <v>No</v>
      </c>
      <c r="H667" s="10"/>
    </row>
    <row r="668" customFormat="false" ht="15" hidden="false" customHeight="true" outlineLevel="0" collapsed="false">
      <c r="A668" s="11" t="n">
        <v>45958</v>
      </c>
      <c r="B668" s="10" t="n">
        <f aca="false">YEAR(A668)</f>
        <v>2025</v>
      </c>
      <c r="C668" s="10" t="n">
        <f aca="false">MONTH(A668)</f>
        <v>10</v>
      </c>
      <c r="D668" s="10" t="str">
        <f aca="false">TEXT(A668,"mmm")</f>
        <v>Oct</v>
      </c>
      <c r="E668" s="10" t="str">
        <f aca="false">"Q"&amp;ROUNDUP(C668/3,0)</f>
        <v>Q4</v>
      </c>
      <c r="F668" s="10" t="str">
        <f aca="false">TEXT(A668,"ddd")</f>
        <v>Tue</v>
      </c>
      <c r="G668" s="10" t="str">
        <f aca="false">IF(WEEKDAY(A668,2)&gt;5,"Yes","No")</f>
        <v>No</v>
      </c>
      <c r="H668" s="10"/>
    </row>
    <row r="669" customFormat="false" ht="15" hidden="false" customHeight="true" outlineLevel="0" collapsed="false">
      <c r="A669" s="11" t="n">
        <v>45959</v>
      </c>
      <c r="B669" s="10" t="n">
        <f aca="false">YEAR(A669)</f>
        <v>2025</v>
      </c>
      <c r="C669" s="10" t="n">
        <f aca="false">MONTH(A669)</f>
        <v>10</v>
      </c>
      <c r="D669" s="10" t="str">
        <f aca="false">TEXT(A669,"mmm")</f>
        <v>Oct</v>
      </c>
      <c r="E669" s="10" t="str">
        <f aca="false">"Q"&amp;ROUNDUP(C669/3,0)</f>
        <v>Q4</v>
      </c>
      <c r="F669" s="10" t="str">
        <f aca="false">TEXT(A669,"ddd")</f>
        <v>Wed</v>
      </c>
      <c r="G669" s="10" t="str">
        <f aca="false">IF(WEEKDAY(A669,2)&gt;5,"Yes","No")</f>
        <v>No</v>
      </c>
      <c r="H669" s="10"/>
    </row>
    <row r="670" customFormat="false" ht="15" hidden="false" customHeight="true" outlineLevel="0" collapsed="false">
      <c r="A670" s="11" t="n">
        <v>45960</v>
      </c>
      <c r="B670" s="10" t="n">
        <f aca="false">YEAR(A670)</f>
        <v>2025</v>
      </c>
      <c r="C670" s="10" t="n">
        <f aca="false">MONTH(A670)</f>
        <v>10</v>
      </c>
      <c r="D670" s="10" t="str">
        <f aca="false">TEXT(A670,"mmm")</f>
        <v>Oct</v>
      </c>
      <c r="E670" s="10" t="str">
        <f aca="false">"Q"&amp;ROUNDUP(C670/3,0)</f>
        <v>Q4</v>
      </c>
      <c r="F670" s="10" t="str">
        <f aca="false">TEXT(A670,"ddd")</f>
        <v>Thu</v>
      </c>
      <c r="G670" s="10" t="str">
        <f aca="false">IF(WEEKDAY(A670,2)&gt;5,"Yes","No")</f>
        <v>No</v>
      </c>
      <c r="H670" s="10"/>
    </row>
    <row r="671" customFormat="false" ht="15" hidden="false" customHeight="true" outlineLevel="0" collapsed="false">
      <c r="A671" s="11" t="n">
        <v>45961</v>
      </c>
      <c r="B671" s="10" t="n">
        <f aca="false">YEAR(A671)</f>
        <v>2025</v>
      </c>
      <c r="C671" s="10" t="n">
        <f aca="false">MONTH(A671)</f>
        <v>10</v>
      </c>
      <c r="D671" s="10" t="str">
        <f aca="false">TEXT(A671,"mmm")</f>
        <v>Oct</v>
      </c>
      <c r="E671" s="10" t="str">
        <f aca="false">"Q"&amp;ROUNDUP(C671/3,0)</f>
        <v>Q4</v>
      </c>
      <c r="F671" s="10" t="str">
        <f aca="false">TEXT(A671,"ddd")</f>
        <v>Fri</v>
      </c>
      <c r="G671" s="10" t="str">
        <f aca="false">IF(WEEKDAY(A671,2)&gt;5,"Yes","No")</f>
        <v>No</v>
      </c>
      <c r="H671" s="10"/>
    </row>
    <row r="672" customFormat="false" ht="15" hidden="false" customHeight="true" outlineLevel="0" collapsed="false">
      <c r="A672" s="11" t="n">
        <v>45962</v>
      </c>
      <c r="B672" s="10" t="n">
        <f aca="false">YEAR(A672)</f>
        <v>2025</v>
      </c>
      <c r="C672" s="10" t="n">
        <f aca="false">MONTH(A672)</f>
        <v>11</v>
      </c>
      <c r="D672" s="10" t="str">
        <f aca="false">TEXT(A672,"mmm")</f>
        <v>Nov</v>
      </c>
      <c r="E672" s="10" t="str">
        <f aca="false">"Q"&amp;ROUNDUP(C672/3,0)</f>
        <v>Q4</v>
      </c>
      <c r="F672" s="10" t="str">
        <f aca="false">TEXT(A672,"ddd")</f>
        <v>Sat</v>
      </c>
      <c r="G672" s="10" t="str">
        <f aca="false">IF(WEEKDAY(A672,2)&gt;5,"Yes","No")</f>
        <v>Yes</v>
      </c>
      <c r="H672" s="10"/>
    </row>
    <row r="673" customFormat="false" ht="15" hidden="false" customHeight="true" outlineLevel="0" collapsed="false">
      <c r="A673" s="11" t="n">
        <v>45963</v>
      </c>
      <c r="B673" s="10" t="n">
        <f aca="false">YEAR(A673)</f>
        <v>2025</v>
      </c>
      <c r="C673" s="10" t="n">
        <f aca="false">MONTH(A673)</f>
        <v>11</v>
      </c>
      <c r="D673" s="10" t="str">
        <f aca="false">TEXT(A673,"mmm")</f>
        <v>Nov</v>
      </c>
      <c r="E673" s="10" t="str">
        <f aca="false">"Q"&amp;ROUNDUP(C673/3,0)</f>
        <v>Q4</v>
      </c>
      <c r="F673" s="10" t="str">
        <f aca="false">TEXT(A673,"ddd")</f>
        <v>Sun</v>
      </c>
      <c r="G673" s="10" t="str">
        <f aca="false">IF(WEEKDAY(A673,2)&gt;5,"Yes","No")</f>
        <v>Yes</v>
      </c>
      <c r="H673" s="10"/>
    </row>
    <row r="674" customFormat="false" ht="15" hidden="false" customHeight="true" outlineLevel="0" collapsed="false">
      <c r="A674" s="11" t="n">
        <v>45964</v>
      </c>
      <c r="B674" s="10" t="n">
        <f aca="false">YEAR(A674)</f>
        <v>2025</v>
      </c>
      <c r="C674" s="10" t="n">
        <f aca="false">MONTH(A674)</f>
        <v>11</v>
      </c>
      <c r="D674" s="10" t="str">
        <f aca="false">TEXT(A674,"mmm")</f>
        <v>Nov</v>
      </c>
      <c r="E674" s="10" t="str">
        <f aca="false">"Q"&amp;ROUNDUP(C674/3,0)</f>
        <v>Q4</v>
      </c>
      <c r="F674" s="10" t="str">
        <f aca="false">TEXT(A674,"ddd")</f>
        <v>Mon</v>
      </c>
      <c r="G674" s="10" t="str">
        <f aca="false">IF(WEEKDAY(A674,2)&gt;5,"Yes","No")</f>
        <v>No</v>
      </c>
      <c r="H674" s="10"/>
    </row>
    <row r="675" customFormat="false" ht="15" hidden="false" customHeight="true" outlineLevel="0" collapsed="false">
      <c r="A675" s="11" t="n">
        <v>45965</v>
      </c>
      <c r="B675" s="10" t="n">
        <f aca="false">YEAR(A675)</f>
        <v>2025</v>
      </c>
      <c r="C675" s="10" t="n">
        <f aca="false">MONTH(A675)</f>
        <v>11</v>
      </c>
      <c r="D675" s="10" t="str">
        <f aca="false">TEXT(A675,"mmm")</f>
        <v>Nov</v>
      </c>
      <c r="E675" s="10" t="str">
        <f aca="false">"Q"&amp;ROUNDUP(C675/3,0)</f>
        <v>Q4</v>
      </c>
      <c r="F675" s="10" t="str">
        <f aca="false">TEXT(A675,"ddd")</f>
        <v>Tue</v>
      </c>
      <c r="G675" s="10" t="str">
        <f aca="false">IF(WEEKDAY(A675,2)&gt;5,"Yes","No")</f>
        <v>No</v>
      </c>
      <c r="H675" s="10"/>
    </row>
    <row r="676" customFormat="false" ht="15" hidden="false" customHeight="true" outlineLevel="0" collapsed="false">
      <c r="A676" s="11" t="n">
        <v>45966</v>
      </c>
      <c r="B676" s="10" t="n">
        <f aca="false">YEAR(A676)</f>
        <v>2025</v>
      </c>
      <c r="C676" s="10" t="n">
        <f aca="false">MONTH(A676)</f>
        <v>11</v>
      </c>
      <c r="D676" s="10" t="str">
        <f aca="false">TEXT(A676,"mmm")</f>
        <v>Nov</v>
      </c>
      <c r="E676" s="10" t="str">
        <f aca="false">"Q"&amp;ROUNDUP(C676/3,0)</f>
        <v>Q4</v>
      </c>
      <c r="F676" s="10" t="str">
        <f aca="false">TEXT(A676,"ddd")</f>
        <v>Wed</v>
      </c>
      <c r="G676" s="10" t="str">
        <f aca="false">IF(WEEKDAY(A676,2)&gt;5,"Yes","No")</f>
        <v>No</v>
      </c>
      <c r="H676" s="10"/>
    </row>
    <row r="677" customFormat="false" ht="15" hidden="false" customHeight="true" outlineLevel="0" collapsed="false">
      <c r="A677" s="11" t="n">
        <v>45967</v>
      </c>
      <c r="B677" s="10" t="n">
        <f aca="false">YEAR(A677)</f>
        <v>2025</v>
      </c>
      <c r="C677" s="10" t="n">
        <f aca="false">MONTH(A677)</f>
        <v>11</v>
      </c>
      <c r="D677" s="10" t="str">
        <f aca="false">TEXT(A677,"mmm")</f>
        <v>Nov</v>
      </c>
      <c r="E677" s="10" t="str">
        <f aca="false">"Q"&amp;ROUNDUP(C677/3,0)</f>
        <v>Q4</v>
      </c>
      <c r="F677" s="10" t="str">
        <f aca="false">TEXT(A677,"ddd")</f>
        <v>Thu</v>
      </c>
      <c r="G677" s="10" t="str">
        <f aca="false">IF(WEEKDAY(A677,2)&gt;5,"Yes","No")</f>
        <v>No</v>
      </c>
      <c r="H677" s="10"/>
    </row>
    <row r="678" customFormat="false" ht="15" hidden="false" customHeight="true" outlineLevel="0" collapsed="false">
      <c r="A678" s="11" t="n">
        <v>45968</v>
      </c>
      <c r="B678" s="10" t="n">
        <f aca="false">YEAR(A678)</f>
        <v>2025</v>
      </c>
      <c r="C678" s="10" t="n">
        <f aca="false">MONTH(A678)</f>
        <v>11</v>
      </c>
      <c r="D678" s="10" t="str">
        <f aca="false">TEXT(A678,"mmm")</f>
        <v>Nov</v>
      </c>
      <c r="E678" s="10" t="str">
        <f aca="false">"Q"&amp;ROUNDUP(C678/3,0)</f>
        <v>Q4</v>
      </c>
      <c r="F678" s="10" t="str">
        <f aca="false">TEXT(A678,"ddd")</f>
        <v>Fri</v>
      </c>
      <c r="G678" s="10" t="str">
        <f aca="false">IF(WEEKDAY(A678,2)&gt;5,"Yes","No")</f>
        <v>No</v>
      </c>
      <c r="H678" s="10"/>
    </row>
    <row r="679" customFormat="false" ht="15" hidden="false" customHeight="true" outlineLevel="0" collapsed="false">
      <c r="A679" s="11" t="n">
        <v>45969</v>
      </c>
      <c r="B679" s="10" t="n">
        <f aca="false">YEAR(A679)</f>
        <v>2025</v>
      </c>
      <c r="C679" s="10" t="n">
        <f aca="false">MONTH(A679)</f>
        <v>11</v>
      </c>
      <c r="D679" s="10" t="str">
        <f aca="false">TEXT(A679,"mmm")</f>
        <v>Nov</v>
      </c>
      <c r="E679" s="10" t="str">
        <f aca="false">"Q"&amp;ROUNDUP(C679/3,0)</f>
        <v>Q4</v>
      </c>
      <c r="F679" s="10" t="str">
        <f aca="false">TEXT(A679,"ddd")</f>
        <v>Sat</v>
      </c>
      <c r="G679" s="10" t="str">
        <f aca="false">IF(WEEKDAY(A679,2)&gt;5,"Yes","No")</f>
        <v>Yes</v>
      </c>
      <c r="H679" s="10"/>
    </row>
    <row r="680" customFormat="false" ht="15" hidden="false" customHeight="true" outlineLevel="0" collapsed="false">
      <c r="A680" s="11" t="n">
        <v>45970</v>
      </c>
      <c r="B680" s="10" t="n">
        <f aca="false">YEAR(A680)</f>
        <v>2025</v>
      </c>
      <c r="C680" s="10" t="n">
        <f aca="false">MONTH(A680)</f>
        <v>11</v>
      </c>
      <c r="D680" s="10" t="str">
        <f aca="false">TEXT(A680,"mmm")</f>
        <v>Nov</v>
      </c>
      <c r="E680" s="10" t="str">
        <f aca="false">"Q"&amp;ROUNDUP(C680/3,0)</f>
        <v>Q4</v>
      </c>
      <c r="F680" s="10" t="str">
        <f aca="false">TEXT(A680,"ddd")</f>
        <v>Sun</v>
      </c>
      <c r="G680" s="10" t="str">
        <f aca="false">IF(WEEKDAY(A680,2)&gt;5,"Yes","No")</f>
        <v>Yes</v>
      </c>
      <c r="H680" s="10"/>
    </row>
    <row r="681" customFormat="false" ht="15" hidden="false" customHeight="true" outlineLevel="0" collapsed="false">
      <c r="A681" s="11" t="n">
        <v>45971</v>
      </c>
      <c r="B681" s="10" t="n">
        <f aca="false">YEAR(A681)</f>
        <v>2025</v>
      </c>
      <c r="C681" s="10" t="n">
        <f aca="false">MONTH(A681)</f>
        <v>11</v>
      </c>
      <c r="D681" s="10" t="str">
        <f aca="false">TEXT(A681,"mmm")</f>
        <v>Nov</v>
      </c>
      <c r="E681" s="10" t="str">
        <f aca="false">"Q"&amp;ROUNDUP(C681/3,0)</f>
        <v>Q4</v>
      </c>
      <c r="F681" s="10" t="str">
        <f aca="false">TEXT(A681,"ddd")</f>
        <v>Mon</v>
      </c>
      <c r="G681" s="10" t="str">
        <f aca="false">IF(WEEKDAY(A681,2)&gt;5,"Yes","No")</f>
        <v>No</v>
      </c>
      <c r="H681" s="10"/>
    </row>
    <row r="682" customFormat="false" ht="15" hidden="false" customHeight="true" outlineLevel="0" collapsed="false">
      <c r="A682" s="11" t="n">
        <v>45972</v>
      </c>
      <c r="B682" s="10" t="n">
        <f aca="false">YEAR(A682)</f>
        <v>2025</v>
      </c>
      <c r="C682" s="10" t="n">
        <f aca="false">MONTH(A682)</f>
        <v>11</v>
      </c>
      <c r="D682" s="10" t="str">
        <f aca="false">TEXT(A682,"mmm")</f>
        <v>Nov</v>
      </c>
      <c r="E682" s="10" t="str">
        <f aca="false">"Q"&amp;ROUNDUP(C682/3,0)</f>
        <v>Q4</v>
      </c>
      <c r="F682" s="10" t="str">
        <f aca="false">TEXT(A682,"ddd")</f>
        <v>Tue</v>
      </c>
      <c r="G682" s="10" t="str">
        <f aca="false">IF(WEEKDAY(A682,2)&gt;5,"Yes","No")</f>
        <v>No</v>
      </c>
      <c r="H682" s="10"/>
    </row>
    <row r="683" customFormat="false" ht="15" hidden="false" customHeight="true" outlineLevel="0" collapsed="false">
      <c r="A683" s="11" t="n">
        <v>45973</v>
      </c>
      <c r="B683" s="10" t="n">
        <f aca="false">YEAR(A683)</f>
        <v>2025</v>
      </c>
      <c r="C683" s="10" t="n">
        <f aca="false">MONTH(A683)</f>
        <v>11</v>
      </c>
      <c r="D683" s="10" t="str">
        <f aca="false">TEXT(A683,"mmm")</f>
        <v>Nov</v>
      </c>
      <c r="E683" s="10" t="str">
        <f aca="false">"Q"&amp;ROUNDUP(C683/3,0)</f>
        <v>Q4</v>
      </c>
      <c r="F683" s="10" t="str">
        <f aca="false">TEXT(A683,"ddd")</f>
        <v>Wed</v>
      </c>
      <c r="G683" s="10" t="str">
        <f aca="false">IF(WEEKDAY(A683,2)&gt;5,"Yes","No")</f>
        <v>No</v>
      </c>
      <c r="H683" s="10"/>
    </row>
    <row r="684" customFormat="false" ht="15" hidden="false" customHeight="true" outlineLevel="0" collapsed="false">
      <c r="A684" s="11" t="n">
        <v>45974</v>
      </c>
      <c r="B684" s="10" t="n">
        <f aca="false">YEAR(A684)</f>
        <v>2025</v>
      </c>
      <c r="C684" s="10" t="n">
        <f aca="false">MONTH(A684)</f>
        <v>11</v>
      </c>
      <c r="D684" s="10" t="str">
        <f aca="false">TEXT(A684,"mmm")</f>
        <v>Nov</v>
      </c>
      <c r="E684" s="10" t="str">
        <f aca="false">"Q"&amp;ROUNDUP(C684/3,0)</f>
        <v>Q4</v>
      </c>
      <c r="F684" s="10" t="str">
        <f aca="false">TEXT(A684,"ddd")</f>
        <v>Thu</v>
      </c>
      <c r="G684" s="10" t="str">
        <f aca="false">IF(WEEKDAY(A684,2)&gt;5,"Yes","No")</f>
        <v>No</v>
      </c>
      <c r="H684" s="10"/>
    </row>
    <row r="685" customFormat="false" ht="15" hidden="false" customHeight="true" outlineLevel="0" collapsed="false">
      <c r="A685" s="11" t="n">
        <v>45975</v>
      </c>
      <c r="B685" s="10" t="n">
        <f aca="false">YEAR(A685)</f>
        <v>2025</v>
      </c>
      <c r="C685" s="10" t="n">
        <f aca="false">MONTH(A685)</f>
        <v>11</v>
      </c>
      <c r="D685" s="10" t="str">
        <f aca="false">TEXT(A685,"mmm")</f>
        <v>Nov</v>
      </c>
      <c r="E685" s="10" t="str">
        <f aca="false">"Q"&amp;ROUNDUP(C685/3,0)</f>
        <v>Q4</v>
      </c>
      <c r="F685" s="10" t="str">
        <f aca="false">TEXT(A685,"ddd")</f>
        <v>Fri</v>
      </c>
      <c r="G685" s="10" t="str">
        <f aca="false">IF(WEEKDAY(A685,2)&gt;5,"Yes","No")</f>
        <v>No</v>
      </c>
      <c r="H685" s="10"/>
    </row>
    <row r="686" customFormat="false" ht="15" hidden="false" customHeight="true" outlineLevel="0" collapsed="false">
      <c r="A686" s="11" t="n">
        <v>45976</v>
      </c>
      <c r="B686" s="10" t="n">
        <f aca="false">YEAR(A686)</f>
        <v>2025</v>
      </c>
      <c r="C686" s="10" t="n">
        <f aca="false">MONTH(A686)</f>
        <v>11</v>
      </c>
      <c r="D686" s="10" t="str">
        <f aca="false">TEXT(A686,"mmm")</f>
        <v>Nov</v>
      </c>
      <c r="E686" s="10" t="str">
        <f aca="false">"Q"&amp;ROUNDUP(C686/3,0)</f>
        <v>Q4</v>
      </c>
      <c r="F686" s="10" t="str">
        <f aca="false">TEXT(A686,"ddd")</f>
        <v>Sat</v>
      </c>
      <c r="G686" s="10" t="str">
        <f aca="false">IF(WEEKDAY(A686,2)&gt;5,"Yes","No")</f>
        <v>Yes</v>
      </c>
      <c r="H686" s="10"/>
    </row>
    <row r="687" customFormat="false" ht="15" hidden="false" customHeight="true" outlineLevel="0" collapsed="false">
      <c r="A687" s="11" t="n">
        <v>45977</v>
      </c>
      <c r="B687" s="10" t="n">
        <f aca="false">YEAR(A687)</f>
        <v>2025</v>
      </c>
      <c r="C687" s="10" t="n">
        <f aca="false">MONTH(A687)</f>
        <v>11</v>
      </c>
      <c r="D687" s="10" t="str">
        <f aca="false">TEXT(A687,"mmm")</f>
        <v>Nov</v>
      </c>
      <c r="E687" s="10" t="str">
        <f aca="false">"Q"&amp;ROUNDUP(C687/3,0)</f>
        <v>Q4</v>
      </c>
      <c r="F687" s="10" t="str">
        <f aca="false">TEXT(A687,"ddd")</f>
        <v>Sun</v>
      </c>
      <c r="G687" s="10" t="str">
        <f aca="false">IF(WEEKDAY(A687,2)&gt;5,"Yes","No")</f>
        <v>Yes</v>
      </c>
      <c r="H687" s="10"/>
    </row>
    <row r="688" customFormat="false" ht="15" hidden="false" customHeight="true" outlineLevel="0" collapsed="false">
      <c r="A688" s="11" t="n">
        <v>45978</v>
      </c>
      <c r="B688" s="10" t="n">
        <f aca="false">YEAR(A688)</f>
        <v>2025</v>
      </c>
      <c r="C688" s="10" t="n">
        <f aca="false">MONTH(A688)</f>
        <v>11</v>
      </c>
      <c r="D688" s="10" t="str">
        <f aca="false">TEXT(A688,"mmm")</f>
        <v>Nov</v>
      </c>
      <c r="E688" s="10" t="str">
        <f aca="false">"Q"&amp;ROUNDUP(C688/3,0)</f>
        <v>Q4</v>
      </c>
      <c r="F688" s="10" t="str">
        <f aca="false">TEXT(A688,"ddd")</f>
        <v>Mon</v>
      </c>
      <c r="G688" s="10" t="str">
        <f aca="false">IF(WEEKDAY(A688,2)&gt;5,"Yes","No")</f>
        <v>No</v>
      </c>
      <c r="H688" s="10"/>
    </row>
    <row r="689" customFormat="false" ht="15" hidden="false" customHeight="true" outlineLevel="0" collapsed="false">
      <c r="A689" s="11" t="n">
        <v>45979</v>
      </c>
      <c r="B689" s="10" t="n">
        <f aca="false">YEAR(A689)</f>
        <v>2025</v>
      </c>
      <c r="C689" s="10" t="n">
        <f aca="false">MONTH(A689)</f>
        <v>11</v>
      </c>
      <c r="D689" s="10" t="str">
        <f aca="false">TEXT(A689,"mmm")</f>
        <v>Nov</v>
      </c>
      <c r="E689" s="10" t="str">
        <f aca="false">"Q"&amp;ROUNDUP(C689/3,0)</f>
        <v>Q4</v>
      </c>
      <c r="F689" s="10" t="str">
        <f aca="false">TEXT(A689,"ddd")</f>
        <v>Tue</v>
      </c>
      <c r="G689" s="10" t="str">
        <f aca="false">IF(WEEKDAY(A689,2)&gt;5,"Yes","No")</f>
        <v>No</v>
      </c>
      <c r="H689" s="10"/>
    </row>
    <row r="690" customFormat="false" ht="15" hidden="false" customHeight="true" outlineLevel="0" collapsed="false">
      <c r="A690" s="11" t="n">
        <v>45980</v>
      </c>
      <c r="B690" s="10" t="n">
        <f aca="false">YEAR(A690)</f>
        <v>2025</v>
      </c>
      <c r="C690" s="10" t="n">
        <f aca="false">MONTH(A690)</f>
        <v>11</v>
      </c>
      <c r="D690" s="10" t="str">
        <f aca="false">TEXT(A690,"mmm")</f>
        <v>Nov</v>
      </c>
      <c r="E690" s="10" t="str">
        <f aca="false">"Q"&amp;ROUNDUP(C690/3,0)</f>
        <v>Q4</v>
      </c>
      <c r="F690" s="10" t="str">
        <f aca="false">TEXT(A690,"ddd")</f>
        <v>Wed</v>
      </c>
      <c r="G690" s="10" t="str">
        <f aca="false">IF(WEEKDAY(A690,2)&gt;5,"Yes","No")</f>
        <v>No</v>
      </c>
      <c r="H690" s="10"/>
    </row>
    <row r="691" customFormat="false" ht="15" hidden="false" customHeight="true" outlineLevel="0" collapsed="false">
      <c r="A691" s="11" t="n">
        <v>45981</v>
      </c>
      <c r="B691" s="10" t="n">
        <f aca="false">YEAR(A691)</f>
        <v>2025</v>
      </c>
      <c r="C691" s="10" t="n">
        <f aca="false">MONTH(A691)</f>
        <v>11</v>
      </c>
      <c r="D691" s="10" t="str">
        <f aca="false">TEXT(A691,"mmm")</f>
        <v>Nov</v>
      </c>
      <c r="E691" s="10" t="str">
        <f aca="false">"Q"&amp;ROUNDUP(C691/3,0)</f>
        <v>Q4</v>
      </c>
      <c r="F691" s="10" t="str">
        <f aca="false">TEXT(A691,"ddd")</f>
        <v>Thu</v>
      </c>
      <c r="G691" s="10" t="str">
        <f aca="false">IF(WEEKDAY(A691,2)&gt;5,"Yes","No")</f>
        <v>No</v>
      </c>
      <c r="H691" s="10"/>
    </row>
    <row r="692" customFormat="false" ht="15" hidden="false" customHeight="true" outlineLevel="0" collapsed="false">
      <c r="A692" s="11" t="n">
        <v>45982</v>
      </c>
      <c r="B692" s="10" t="n">
        <f aca="false">YEAR(A692)</f>
        <v>2025</v>
      </c>
      <c r="C692" s="10" t="n">
        <f aca="false">MONTH(A692)</f>
        <v>11</v>
      </c>
      <c r="D692" s="10" t="str">
        <f aca="false">TEXT(A692,"mmm")</f>
        <v>Nov</v>
      </c>
      <c r="E692" s="10" t="str">
        <f aca="false">"Q"&amp;ROUNDUP(C692/3,0)</f>
        <v>Q4</v>
      </c>
      <c r="F692" s="10" t="str">
        <f aca="false">TEXT(A692,"ddd")</f>
        <v>Fri</v>
      </c>
      <c r="G692" s="10" t="str">
        <f aca="false">IF(WEEKDAY(A692,2)&gt;5,"Yes","No")</f>
        <v>No</v>
      </c>
      <c r="H692" s="10"/>
    </row>
    <row r="693" customFormat="false" ht="15" hidden="false" customHeight="true" outlineLevel="0" collapsed="false">
      <c r="A693" s="11" t="n">
        <v>45983</v>
      </c>
      <c r="B693" s="10" t="n">
        <f aca="false">YEAR(A693)</f>
        <v>2025</v>
      </c>
      <c r="C693" s="10" t="n">
        <f aca="false">MONTH(A693)</f>
        <v>11</v>
      </c>
      <c r="D693" s="10" t="str">
        <f aca="false">TEXT(A693,"mmm")</f>
        <v>Nov</v>
      </c>
      <c r="E693" s="10" t="str">
        <f aca="false">"Q"&amp;ROUNDUP(C693/3,0)</f>
        <v>Q4</v>
      </c>
      <c r="F693" s="10" t="str">
        <f aca="false">TEXT(A693,"ddd")</f>
        <v>Sat</v>
      </c>
      <c r="G693" s="10" t="str">
        <f aca="false">IF(WEEKDAY(A693,2)&gt;5,"Yes","No")</f>
        <v>Yes</v>
      </c>
      <c r="H693" s="10"/>
    </row>
    <row r="694" customFormat="false" ht="15" hidden="false" customHeight="true" outlineLevel="0" collapsed="false">
      <c r="A694" s="11" t="n">
        <v>45984</v>
      </c>
      <c r="B694" s="10" t="n">
        <f aca="false">YEAR(A694)</f>
        <v>2025</v>
      </c>
      <c r="C694" s="10" t="n">
        <f aca="false">MONTH(A694)</f>
        <v>11</v>
      </c>
      <c r="D694" s="10" t="str">
        <f aca="false">TEXT(A694,"mmm")</f>
        <v>Nov</v>
      </c>
      <c r="E694" s="10" t="str">
        <f aca="false">"Q"&amp;ROUNDUP(C694/3,0)</f>
        <v>Q4</v>
      </c>
      <c r="F694" s="10" t="str">
        <f aca="false">TEXT(A694,"ddd")</f>
        <v>Sun</v>
      </c>
      <c r="G694" s="10" t="str">
        <f aca="false">IF(WEEKDAY(A694,2)&gt;5,"Yes","No")</f>
        <v>Yes</v>
      </c>
      <c r="H694" s="10"/>
    </row>
    <row r="695" customFormat="false" ht="15" hidden="false" customHeight="true" outlineLevel="0" collapsed="false">
      <c r="A695" s="11" t="n">
        <v>45985</v>
      </c>
      <c r="B695" s="10" t="n">
        <f aca="false">YEAR(A695)</f>
        <v>2025</v>
      </c>
      <c r="C695" s="10" t="n">
        <f aca="false">MONTH(A695)</f>
        <v>11</v>
      </c>
      <c r="D695" s="10" t="str">
        <f aca="false">TEXT(A695,"mmm")</f>
        <v>Nov</v>
      </c>
      <c r="E695" s="10" t="str">
        <f aca="false">"Q"&amp;ROUNDUP(C695/3,0)</f>
        <v>Q4</v>
      </c>
      <c r="F695" s="10" t="str">
        <f aca="false">TEXT(A695,"ddd")</f>
        <v>Mon</v>
      </c>
      <c r="G695" s="10" t="str">
        <f aca="false">IF(WEEKDAY(A695,2)&gt;5,"Yes","No")</f>
        <v>No</v>
      </c>
      <c r="H695" s="10"/>
    </row>
    <row r="696" customFormat="false" ht="15" hidden="false" customHeight="true" outlineLevel="0" collapsed="false">
      <c r="A696" s="11" t="n">
        <v>45986</v>
      </c>
      <c r="B696" s="10" t="n">
        <f aca="false">YEAR(A696)</f>
        <v>2025</v>
      </c>
      <c r="C696" s="10" t="n">
        <f aca="false">MONTH(A696)</f>
        <v>11</v>
      </c>
      <c r="D696" s="10" t="str">
        <f aca="false">TEXT(A696,"mmm")</f>
        <v>Nov</v>
      </c>
      <c r="E696" s="10" t="str">
        <f aca="false">"Q"&amp;ROUNDUP(C696/3,0)</f>
        <v>Q4</v>
      </c>
      <c r="F696" s="10" t="str">
        <f aca="false">TEXT(A696,"ddd")</f>
        <v>Tue</v>
      </c>
      <c r="G696" s="10" t="str">
        <f aca="false">IF(WEEKDAY(A696,2)&gt;5,"Yes","No")</f>
        <v>No</v>
      </c>
      <c r="H696" s="10"/>
    </row>
    <row r="697" customFormat="false" ht="15" hidden="false" customHeight="true" outlineLevel="0" collapsed="false">
      <c r="A697" s="11" t="n">
        <v>45987</v>
      </c>
      <c r="B697" s="10" t="n">
        <f aca="false">YEAR(A697)</f>
        <v>2025</v>
      </c>
      <c r="C697" s="10" t="n">
        <f aca="false">MONTH(A697)</f>
        <v>11</v>
      </c>
      <c r="D697" s="10" t="str">
        <f aca="false">TEXT(A697,"mmm")</f>
        <v>Nov</v>
      </c>
      <c r="E697" s="10" t="str">
        <f aca="false">"Q"&amp;ROUNDUP(C697/3,0)</f>
        <v>Q4</v>
      </c>
      <c r="F697" s="10" t="str">
        <f aca="false">TEXT(A697,"ddd")</f>
        <v>Wed</v>
      </c>
      <c r="G697" s="10" t="str">
        <f aca="false">IF(WEEKDAY(A697,2)&gt;5,"Yes","No")</f>
        <v>No</v>
      </c>
      <c r="H697" s="10"/>
    </row>
    <row r="698" customFormat="false" ht="15" hidden="false" customHeight="true" outlineLevel="0" collapsed="false">
      <c r="A698" s="11" t="n">
        <v>45988</v>
      </c>
      <c r="B698" s="10" t="n">
        <f aca="false">YEAR(A698)</f>
        <v>2025</v>
      </c>
      <c r="C698" s="10" t="n">
        <f aca="false">MONTH(A698)</f>
        <v>11</v>
      </c>
      <c r="D698" s="10" t="str">
        <f aca="false">TEXT(A698,"mmm")</f>
        <v>Nov</v>
      </c>
      <c r="E698" s="10" t="str">
        <f aca="false">"Q"&amp;ROUNDUP(C698/3,0)</f>
        <v>Q4</v>
      </c>
      <c r="F698" s="10" t="str">
        <f aca="false">TEXT(A698,"ddd")</f>
        <v>Thu</v>
      </c>
      <c r="G698" s="10" t="str">
        <f aca="false">IF(WEEKDAY(A698,2)&gt;5,"Yes","No")</f>
        <v>No</v>
      </c>
      <c r="H698" s="10"/>
    </row>
    <row r="699" customFormat="false" ht="15" hidden="false" customHeight="true" outlineLevel="0" collapsed="false">
      <c r="A699" s="11" t="n">
        <v>45989</v>
      </c>
      <c r="B699" s="10" t="n">
        <f aca="false">YEAR(A699)</f>
        <v>2025</v>
      </c>
      <c r="C699" s="10" t="n">
        <f aca="false">MONTH(A699)</f>
        <v>11</v>
      </c>
      <c r="D699" s="10" t="str">
        <f aca="false">TEXT(A699,"mmm")</f>
        <v>Nov</v>
      </c>
      <c r="E699" s="10" t="str">
        <f aca="false">"Q"&amp;ROUNDUP(C699/3,0)</f>
        <v>Q4</v>
      </c>
      <c r="F699" s="10" t="str">
        <f aca="false">TEXT(A699,"ddd")</f>
        <v>Fri</v>
      </c>
      <c r="G699" s="10" t="str">
        <f aca="false">IF(WEEKDAY(A699,2)&gt;5,"Yes","No")</f>
        <v>No</v>
      </c>
      <c r="H699" s="10"/>
    </row>
    <row r="700" customFormat="false" ht="15" hidden="false" customHeight="true" outlineLevel="0" collapsed="false">
      <c r="A700" s="11" t="n">
        <v>45990</v>
      </c>
      <c r="B700" s="10" t="n">
        <f aca="false">YEAR(A700)</f>
        <v>2025</v>
      </c>
      <c r="C700" s="10" t="n">
        <f aca="false">MONTH(A700)</f>
        <v>11</v>
      </c>
      <c r="D700" s="10" t="str">
        <f aca="false">TEXT(A700,"mmm")</f>
        <v>Nov</v>
      </c>
      <c r="E700" s="10" t="str">
        <f aca="false">"Q"&amp;ROUNDUP(C700/3,0)</f>
        <v>Q4</v>
      </c>
      <c r="F700" s="10" t="str">
        <f aca="false">TEXT(A700,"ddd")</f>
        <v>Sat</v>
      </c>
      <c r="G700" s="10" t="str">
        <f aca="false">IF(WEEKDAY(A700,2)&gt;5,"Yes","No")</f>
        <v>Yes</v>
      </c>
      <c r="H700" s="10"/>
    </row>
    <row r="701" customFormat="false" ht="15" hidden="false" customHeight="true" outlineLevel="0" collapsed="false">
      <c r="A701" s="11" t="n">
        <v>45991</v>
      </c>
      <c r="B701" s="10" t="n">
        <f aca="false">YEAR(A701)</f>
        <v>2025</v>
      </c>
      <c r="C701" s="10" t="n">
        <f aca="false">MONTH(A701)</f>
        <v>11</v>
      </c>
      <c r="D701" s="10" t="str">
        <f aca="false">TEXT(A701,"mmm")</f>
        <v>Nov</v>
      </c>
      <c r="E701" s="10" t="str">
        <f aca="false">"Q"&amp;ROUNDUP(C701/3,0)</f>
        <v>Q4</v>
      </c>
      <c r="F701" s="10" t="str">
        <f aca="false">TEXT(A701,"ddd")</f>
        <v>Sun</v>
      </c>
      <c r="G701" s="10" t="str">
        <f aca="false">IF(WEEKDAY(A701,2)&gt;5,"Yes","No")</f>
        <v>Yes</v>
      </c>
      <c r="H701" s="10"/>
    </row>
    <row r="702" customFormat="false" ht="15" hidden="false" customHeight="true" outlineLevel="0" collapsed="false">
      <c r="A702" s="11" t="n">
        <v>45992</v>
      </c>
      <c r="B702" s="10" t="n">
        <f aca="false">YEAR(A702)</f>
        <v>2025</v>
      </c>
      <c r="C702" s="10" t="n">
        <f aca="false">MONTH(A702)</f>
        <v>12</v>
      </c>
      <c r="D702" s="10" t="str">
        <f aca="false">TEXT(A702,"mmm")</f>
        <v>Dec</v>
      </c>
      <c r="E702" s="10" t="str">
        <f aca="false">"Q"&amp;ROUNDUP(C702/3,0)</f>
        <v>Q4</v>
      </c>
      <c r="F702" s="10" t="str">
        <f aca="false">TEXT(A702,"ddd")</f>
        <v>Mon</v>
      </c>
      <c r="G702" s="10" t="str">
        <f aca="false">IF(WEEKDAY(A702,2)&gt;5,"Yes","No")</f>
        <v>No</v>
      </c>
      <c r="H702" s="10"/>
    </row>
    <row r="703" customFormat="false" ht="15" hidden="false" customHeight="true" outlineLevel="0" collapsed="false">
      <c r="A703" s="11" t="n">
        <v>45993</v>
      </c>
      <c r="B703" s="10" t="n">
        <f aca="false">YEAR(A703)</f>
        <v>2025</v>
      </c>
      <c r="C703" s="10" t="n">
        <f aca="false">MONTH(A703)</f>
        <v>12</v>
      </c>
      <c r="D703" s="10" t="str">
        <f aca="false">TEXT(A703,"mmm")</f>
        <v>Dec</v>
      </c>
      <c r="E703" s="10" t="str">
        <f aca="false">"Q"&amp;ROUNDUP(C703/3,0)</f>
        <v>Q4</v>
      </c>
      <c r="F703" s="10" t="str">
        <f aca="false">TEXT(A703,"ddd")</f>
        <v>Tue</v>
      </c>
      <c r="G703" s="10" t="str">
        <f aca="false">IF(WEEKDAY(A703,2)&gt;5,"Yes","No")</f>
        <v>No</v>
      </c>
      <c r="H703" s="10"/>
    </row>
    <row r="704" customFormat="false" ht="15" hidden="false" customHeight="true" outlineLevel="0" collapsed="false">
      <c r="A704" s="11" t="n">
        <v>45994</v>
      </c>
      <c r="B704" s="10" t="n">
        <f aca="false">YEAR(A704)</f>
        <v>2025</v>
      </c>
      <c r="C704" s="10" t="n">
        <f aca="false">MONTH(A704)</f>
        <v>12</v>
      </c>
      <c r="D704" s="10" t="str">
        <f aca="false">TEXT(A704,"mmm")</f>
        <v>Dec</v>
      </c>
      <c r="E704" s="10" t="str">
        <f aca="false">"Q"&amp;ROUNDUP(C704/3,0)</f>
        <v>Q4</v>
      </c>
      <c r="F704" s="10" t="str">
        <f aca="false">TEXT(A704,"ddd")</f>
        <v>Wed</v>
      </c>
      <c r="G704" s="10" t="str">
        <f aca="false">IF(WEEKDAY(A704,2)&gt;5,"Yes","No")</f>
        <v>No</v>
      </c>
      <c r="H704" s="10"/>
    </row>
    <row r="705" customFormat="false" ht="15" hidden="false" customHeight="true" outlineLevel="0" collapsed="false">
      <c r="A705" s="11" t="n">
        <v>45995</v>
      </c>
      <c r="B705" s="10" t="n">
        <f aca="false">YEAR(A705)</f>
        <v>2025</v>
      </c>
      <c r="C705" s="10" t="n">
        <f aca="false">MONTH(A705)</f>
        <v>12</v>
      </c>
      <c r="D705" s="10" t="str">
        <f aca="false">TEXT(A705,"mmm")</f>
        <v>Dec</v>
      </c>
      <c r="E705" s="10" t="str">
        <f aca="false">"Q"&amp;ROUNDUP(C705/3,0)</f>
        <v>Q4</v>
      </c>
      <c r="F705" s="10" t="str">
        <f aca="false">TEXT(A705,"ddd")</f>
        <v>Thu</v>
      </c>
      <c r="G705" s="10" t="str">
        <f aca="false">IF(WEEKDAY(A705,2)&gt;5,"Yes","No")</f>
        <v>No</v>
      </c>
      <c r="H705" s="10"/>
    </row>
    <row r="706" customFormat="false" ht="15" hidden="false" customHeight="true" outlineLevel="0" collapsed="false">
      <c r="A706" s="11" t="n">
        <v>45996</v>
      </c>
      <c r="B706" s="10" t="n">
        <f aca="false">YEAR(A706)</f>
        <v>2025</v>
      </c>
      <c r="C706" s="10" t="n">
        <f aca="false">MONTH(A706)</f>
        <v>12</v>
      </c>
      <c r="D706" s="10" t="str">
        <f aca="false">TEXT(A706,"mmm")</f>
        <v>Dec</v>
      </c>
      <c r="E706" s="10" t="str">
        <f aca="false">"Q"&amp;ROUNDUP(C706/3,0)</f>
        <v>Q4</v>
      </c>
      <c r="F706" s="10" t="str">
        <f aca="false">TEXT(A706,"ddd")</f>
        <v>Fri</v>
      </c>
      <c r="G706" s="10" t="str">
        <f aca="false">IF(WEEKDAY(A706,2)&gt;5,"Yes","No")</f>
        <v>No</v>
      </c>
      <c r="H706" s="10"/>
    </row>
    <row r="707" customFormat="false" ht="15" hidden="false" customHeight="true" outlineLevel="0" collapsed="false">
      <c r="A707" s="11" t="n">
        <v>45997</v>
      </c>
      <c r="B707" s="10" t="n">
        <f aca="false">YEAR(A707)</f>
        <v>2025</v>
      </c>
      <c r="C707" s="10" t="n">
        <f aca="false">MONTH(A707)</f>
        <v>12</v>
      </c>
      <c r="D707" s="10" t="str">
        <f aca="false">TEXT(A707,"mmm")</f>
        <v>Dec</v>
      </c>
      <c r="E707" s="10" t="str">
        <f aca="false">"Q"&amp;ROUNDUP(C707/3,0)</f>
        <v>Q4</v>
      </c>
      <c r="F707" s="10" t="str">
        <f aca="false">TEXT(A707,"ddd")</f>
        <v>Sat</v>
      </c>
      <c r="G707" s="10" t="str">
        <f aca="false">IF(WEEKDAY(A707,2)&gt;5,"Yes","No")</f>
        <v>Yes</v>
      </c>
      <c r="H707" s="10"/>
    </row>
    <row r="708" customFormat="false" ht="15" hidden="false" customHeight="true" outlineLevel="0" collapsed="false">
      <c r="A708" s="11" t="n">
        <v>45998</v>
      </c>
      <c r="B708" s="10" t="n">
        <f aca="false">YEAR(A708)</f>
        <v>2025</v>
      </c>
      <c r="C708" s="10" t="n">
        <f aca="false">MONTH(A708)</f>
        <v>12</v>
      </c>
      <c r="D708" s="10" t="str">
        <f aca="false">TEXT(A708,"mmm")</f>
        <v>Dec</v>
      </c>
      <c r="E708" s="10" t="str">
        <f aca="false">"Q"&amp;ROUNDUP(C708/3,0)</f>
        <v>Q4</v>
      </c>
      <c r="F708" s="10" t="str">
        <f aca="false">TEXT(A708,"ddd")</f>
        <v>Sun</v>
      </c>
      <c r="G708" s="10" t="str">
        <f aca="false">IF(WEEKDAY(A708,2)&gt;5,"Yes","No")</f>
        <v>Yes</v>
      </c>
      <c r="H708" s="10"/>
    </row>
    <row r="709" customFormat="false" ht="15" hidden="false" customHeight="true" outlineLevel="0" collapsed="false">
      <c r="A709" s="11" t="n">
        <v>45999</v>
      </c>
      <c r="B709" s="10" t="n">
        <f aca="false">YEAR(A709)</f>
        <v>2025</v>
      </c>
      <c r="C709" s="10" t="n">
        <f aca="false">MONTH(A709)</f>
        <v>12</v>
      </c>
      <c r="D709" s="10" t="str">
        <f aca="false">TEXT(A709,"mmm")</f>
        <v>Dec</v>
      </c>
      <c r="E709" s="10" t="str">
        <f aca="false">"Q"&amp;ROUNDUP(C709/3,0)</f>
        <v>Q4</v>
      </c>
      <c r="F709" s="10" t="str">
        <f aca="false">TEXT(A709,"ddd")</f>
        <v>Mon</v>
      </c>
      <c r="G709" s="10" t="str">
        <f aca="false">IF(WEEKDAY(A709,2)&gt;5,"Yes","No")</f>
        <v>No</v>
      </c>
      <c r="H709" s="10"/>
    </row>
    <row r="710" customFormat="false" ht="15" hidden="false" customHeight="true" outlineLevel="0" collapsed="false">
      <c r="A710" s="11" t="n">
        <v>46000</v>
      </c>
      <c r="B710" s="10" t="n">
        <f aca="false">YEAR(A710)</f>
        <v>2025</v>
      </c>
      <c r="C710" s="10" t="n">
        <f aca="false">MONTH(A710)</f>
        <v>12</v>
      </c>
      <c r="D710" s="10" t="str">
        <f aca="false">TEXT(A710,"mmm")</f>
        <v>Dec</v>
      </c>
      <c r="E710" s="10" t="str">
        <f aca="false">"Q"&amp;ROUNDUP(C710/3,0)</f>
        <v>Q4</v>
      </c>
      <c r="F710" s="10" t="str">
        <f aca="false">TEXT(A710,"ddd")</f>
        <v>Tue</v>
      </c>
      <c r="G710" s="10" t="str">
        <f aca="false">IF(WEEKDAY(A710,2)&gt;5,"Yes","No")</f>
        <v>No</v>
      </c>
      <c r="H710" s="10"/>
    </row>
    <row r="711" customFormat="false" ht="15" hidden="false" customHeight="true" outlineLevel="0" collapsed="false">
      <c r="A711" s="11" t="n">
        <v>46001</v>
      </c>
      <c r="B711" s="10" t="n">
        <f aca="false">YEAR(A711)</f>
        <v>2025</v>
      </c>
      <c r="C711" s="10" t="n">
        <f aca="false">MONTH(A711)</f>
        <v>12</v>
      </c>
      <c r="D711" s="10" t="str">
        <f aca="false">TEXT(A711,"mmm")</f>
        <v>Dec</v>
      </c>
      <c r="E711" s="10" t="str">
        <f aca="false">"Q"&amp;ROUNDUP(C711/3,0)</f>
        <v>Q4</v>
      </c>
      <c r="F711" s="10" t="str">
        <f aca="false">TEXT(A711,"ddd")</f>
        <v>Wed</v>
      </c>
      <c r="G711" s="10" t="str">
        <f aca="false">IF(WEEKDAY(A711,2)&gt;5,"Yes","No")</f>
        <v>No</v>
      </c>
      <c r="H711" s="10"/>
    </row>
    <row r="712" customFormat="false" ht="15" hidden="false" customHeight="true" outlineLevel="0" collapsed="false">
      <c r="A712" s="11" t="n">
        <v>46002</v>
      </c>
      <c r="B712" s="10" t="n">
        <f aca="false">YEAR(A712)</f>
        <v>2025</v>
      </c>
      <c r="C712" s="10" t="n">
        <f aca="false">MONTH(A712)</f>
        <v>12</v>
      </c>
      <c r="D712" s="10" t="str">
        <f aca="false">TEXT(A712,"mmm")</f>
        <v>Dec</v>
      </c>
      <c r="E712" s="10" t="str">
        <f aca="false">"Q"&amp;ROUNDUP(C712/3,0)</f>
        <v>Q4</v>
      </c>
      <c r="F712" s="10" t="str">
        <f aca="false">TEXT(A712,"ddd")</f>
        <v>Thu</v>
      </c>
      <c r="G712" s="10" t="str">
        <f aca="false">IF(WEEKDAY(A712,2)&gt;5,"Yes","No")</f>
        <v>No</v>
      </c>
      <c r="H712" s="10"/>
    </row>
    <row r="713" customFormat="false" ht="15" hidden="false" customHeight="true" outlineLevel="0" collapsed="false">
      <c r="A713" s="11" t="n">
        <v>46003</v>
      </c>
      <c r="B713" s="10" t="n">
        <f aca="false">YEAR(A713)</f>
        <v>2025</v>
      </c>
      <c r="C713" s="10" t="n">
        <f aca="false">MONTH(A713)</f>
        <v>12</v>
      </c>
      <c r="D713" s="10" t="str">
        <f aca="false">TEXT(A713,"mmm")</f>
        <v>Dec</v>
      </c>
      <c r="E713" s="10" t="str">
        <f aca="false">"Q"&amp;ROUNDUP(C713/3,0)</f>
        <v>Q4</v>
      </c>
      <c r="F713" s="10" t="str">
        <f aca="false">TEXT(A713,"ddd")</f>
        <v>Fri</v>
      </c>
      <c r="G713" s="10" t="str">
        <f aca="false">IF(WEEKDAY(A713,2)&gt;5,"Yes","No")</f>
        <v>No</v>
      </c>
      <c r="H713" s="10"/>
    </row>
    <row r="714" customFormat="false" ht="15" hidden="false" customHeight="true" outlineLevel="0" collapsed="false">
      <c r="A714" s="11" t="n">
        <v>46004</v>
      </c>
      <c r="B714" s="10" t="n">
        <f aca="false">YEAR(A714)</f>
        <v>2025</v>
      </c>
      <c r="C714" s="10" t="n">
        <f aca="false">MONTH(A714)</f>
        <v>12</v>
      </c>
      <c r="D714" s="10" t="str">
        <f aca="false">TEXT(A714,"mmm")</f>
        <v>Dec</v>
      </c>
      <c r="E714" s="10" t="str">
        <f aca="false">"Q"&amp;ROUNDUP(C714/3,0)</f>
        <v>Q4</v>
      </c>
      <c r="F714" s="10" t="str">
        <f aca="false">TEXT(A714,"ddd")</f>
        <v>Sat</v>
      </c>
      <c r="G714" s="10" t="str">
        <f aca="false">IF(WEEKDAY(A714,2)&gt;5,"Yes","No")</f>
        <v>Yes</v>
      </c>
      <c r="H714" s="10"/>
    </row>
    <row r="715" customFormat="false" ht="15" hidden="false" customHeight="true" outlineLevel="0" collapsed="false">
      <c r="A715" s="11" t="n">
        <v>46005</v>
      </c>
      <c r="B715" s="10" t="n">
        <f aca="false">YEAR(A715)</f>
        <v>2025</v>
      </c>
      <c r="C715" s="10" t="n">
        <f aca="false">MONTH(A715)</f>
        <v>12</v>
      </c>
      <c r="D715" s="10" t="str">
        <f aca="false">TEXT(A715,"mmm")</f>
        <v>Dec</v>
      </c>
      <c r="E715" s="10" t="str">
        <f aca="false">"Q"&amp;ROUNDUP(C715/3,0)</f>
        <v>Q4</v>
      </c>
      <c r="F715" s="10" t="str">
        <f aca="false">TEXT(A715,"ddd")</f>
        <v>Sun</v>
      </c>
      <c r="G715" s="10" t="str">
        <f aca="false">IF(WEEKDAY(A715,2)&gt;5,"Yes","No")</f>
        <v>Yes</v>
      </c>
      <c r="H715" s="10"/>
    </row>
    <row r="716" customFormat="false" ht="15" hidden="false" customHeight="true" outlineLevel="0" collapsed="false">
      <c r="A716" s="11" t="n">
        <v>46006</v>
      </c>
      <c r="B716" s="10" t="n">
        <f aca="false">YEAR(A716)</f>
        <v>2025</v>
      </c>
      <c r="C716" s="10" t="n">
        <f aca="false">MONTH(A716)</f>
        <v>12</v>
      </c>
      <c r="D716" s="10" t="str">
        <f aca="false">TEXT(A716,"mmm")</f>
        <v>Dec</v>
      </c>
      <c r="E716" s="10" t="str">
        <f aca="false">"Q"&amp;ROUNDUP(C716/3,0)</f>
        <v>Q4</v>
      </c>
      <c r="F716" s="10" t="str">
        <f aca="false">TEXT(A716,"ddd")</f>
        <v>Mon</v>
      </c>
      <c r="G716" s="10" t="str">
        <f aca="false">IF(WEEKDAY(A716,2)&gt;5,"Yes","No")</f>
        <v>No</v>
      </c>
      <c r="H716" s="10"/>
    </row>
    <row r="717" customFormat="false" ht="15" hidden="false" customHeight="true" outlineLevel="0" collapsed="false">
      <c r="A717" s="11" t="n">
        <v>46007</v>
      </c>
      <c r="B717" s="10" t="n">
        <f aca="false">YEAR(A717)</f>
        <v>2025</v>
      </c>
      <c r="C717" s="10" t="n">
        <f aca="false">MONTH(A717)</f>
        <v>12</v>
      </c>
      <c r="D717" s="10" t="str">
        <f aca="false">TEXT(A717,"mmm")</f>
        <v>Dec</v>
      </c>
      <c r="E717" s="10" t="str">
        <f aca="false">"Q"&amp;ROUNDUP(C717/3,0)</f>
        <v>Q4</v>
      </c>
      <c r="F717" s="10" t="str">
        <f aca="false">TEXT(A717,"ddd")</f>
        <v>Tue</v>
      </c>
      <c r="G717" s="10" t="str">
        <f aca="false">IF(WEEKDAY(A717,2)&gt;5,"Yes","No")</f>
        <v>No</v>
      </c>
      <c r="H717" s="10" t="s">
        <v>1002</v>
      </c>
    </row>
    <row r="718" customFormat="false" ht="15" hidden="false" customHeight="true" outlineLevel="0" collapsed="false">
      <c r="A718" s="11" t="n">
        <v>46008</v>
      </c>
      <c r="B718" s="10" t="n">
        <f aca="false">YEAR(A718)</f>
        <v>2025</v>
      </c>
      <c r="C718" s="10" t="n">
        <f aca="false">MONTH(A718)</f>
        <v>12</v>
      </c>
      <c r="D718" s="10" t="str">
        <f aca="false">TEXT(A718,"mmm")</f>
        <v>Dec</v>
      </c>
      <c r="E718" s="10" t="str">
        <f aca="false">"Q"&amp;ROUNDUP(C718/3,0)</f>
        <v>Q4</v>
      </c>
      <c r="F718" s="10" t="str">
        <f aca="false">TEXT(A718,"ddd")</f>
        <v>Wed</v>
      </c>
      <c r="G718" s="10" t="str">
        <f aca="false">IF(WEEKDAY(A718,2)&gt;5,"Yes","No")</f>
        <v>No</v>
      </c>
      <c r="H718" s="10"/>
    </row>
    <row r="719" customFormat="false" ht="15" hidden="false" customHeight="true" outlineLevel="0" collapsed="false">
      <c r="A719" s="11" t="n">
        <v>46009</v>
      </c>
      <c r="B719" s="10" t="n">
        <f aca="false">YEAR(A719)</f>
        <v>2025</v>
      </c>
      <c r="C719" s="10" t="n">
        <f aca="false">MONTH(A719)</f>
        <v>12</v>
      </c>
      <c r="D719" s="10" t="str">
        <f aca="false">TEXT(A719,"mmm")</f>
        <v>Dec</v>
      </c>
      <c r="E719" s="10" t="str">
        <f aca="false">"Q"&amp;ROUNDUP(C719/3,0)</f>
        <v>Q4</v>
      </c>
      <c r="F719" s="10" t="str">
        <f aca="false">TEXT(A719,"ddd")</f>
        <v>Thu</v>
      </c>
      <c r="G719" s="10" t="str">
        <f aca="false">IF(WEEKDAY(A719,2)&gt;5,"Yes","No")</f>
        <v>No</v>
      </c>
      <c r="H719" s="10"/>
    </row>
    <row r="720" customFormat="false" ht="15" hidden="false" customHeight="true" outlineLevel="0" collapsed="false">
      <c r="A720" s="11" t="n">
        <v>46010</v>
      </c>
      <c r="B720" s="10" t="n">
        <f aca="false">YEAR(A720)</f>
        <v>2025</v>
      </c>
      <c r="C720" s="10" t="n">
        <f aca="false">MONTH(A720)</f>
        <v>12</v>
      </c>
      <c r="D720" s="10" t="str">
        <f aca="false">TEXT(A720,"mmm")</f>
        <v>Dec</v>
      </c>
      <c r="E720" s="10" t="str">
        <f aca="false">"Q"&amp;ROUNDUP(C720/3,0)</f>
        <v>Q4</v>
      </c>
      <c r="F720" s="10" t="str">
        <f aca="false">TEXT(A720,"ddd")</f>
        <v>Fri</v>
      </c>
      <c r="G720" s="10" t="str">
        <f aca="false">IF(WEEKDAY(A720,2)&gt;5,"Yes","No")</f>
        <v>No</v>
      </c>
      <c r="H720" s="10"/>
    </row>
    <row r="721" customFormat="false" ht="15" hidden="false" customHeight="true" outlineLevel="0" collapsed="false">
      <c r="A721" s="11" t="n">
        <v>46011</v>
      </c>
      <c r="B721" s="10" t="n">
        <f aca="false">YEAR(A721)</f>
        <v>2025</v>
      </c>
      <c r="C721" s="10" t="n">
        <f aca="false">MONTH(A721)</f>
        <v>12</v>
      </c>
      <c r="D721" s="10" t="str">
        <f aca="false">TEXT(A721,"mmm")</f>
        <v>Dec</v>
      </c>
      <c r="E721" s="10" t="str">
        <f aca="false">"Q"&amp;ROUNDUP(C721/3,0)</f>
        <v>Q4</v>
      </c>
      <c r="F721" s="10" t="str">
        <f aca="false">TEXT(A721,"ddd")</f>
        <v>Sat</v>
      </c>
      <c r="G721" s="10" t="str">
        <f aca="false">IF(WEEKDAY(A721,2)&gt;5,"Yes","No")</f>
        <v>Yes</v>
      </c>
      <c r="H721" s="10"/>
    </row>
    <row r="722" customFormat="false" ht="15" hidden="false" customHeight="true" outlineLevel="0" collapsed="false">
      <c r="A722" s="11" t="n">
        <v>46012</v>
      </c>
      <c r="B722" s="10" t="n">
        <f aca="false">YEAR(A722)</f>
        <v>2025</v>
      </c>
      <c r="C722" s="10" t="n">
        <f aca="false">MONTH(A722)</f>
        <v>12</v>
      </c>
      <c r="D722" s="10" t="str">
        <f aca="false">TEXT(A722,"mmm")</f>
        <v>Dec</v>
      </c>
      <c r="E722" s="10" t="str">
        <f aca="false">"Q"&amp;ROUNDUP(C722/3,0)</f>
        <v>Q4</v>
      </c>
      <c r="F722" s="10" t="str">
        <f aca="false">TEXT(A722,"ddd")</f>
        <v>Sun</v>
      </c>
      <c r="G722" s="10" t="str">
        <f aca="false">IF(WEEKDAY(A722,2)&gt;5,"Yes","No")</f>
        <v>Yes</v>
      </c>
      <c r="H722" s="10"/>
    </row>
    <row r="723" customFormat="false" ht="15" hidden="false" customHeight="true" outlineLevel="0" collapsed="false">
      <c r="A723" s="11" t="n">
        <v>46013</v>
      </c>
      <c r="B723" s="10" t="n">
        <f aca="false">YEAR(A723)</f>
        <v>2025</v>
      </c>
      <c r="C723" s="10" t="n">
        <f aca="false">MONTH(A723)</f>
        <v>12</v>
      </c>
      <c r="D723" s="10" t="str">
        <f aca="false">TEXT(A723,"mmm")</f>
        <v>Dec</v>
      </c>
      <c r="E723" s="10" t="str">
        <f aca="false">"Q"&amp;ROUNDUP(C723/3,0)</f>
        <v>Q4</v>
      </c>
      <c r="F723" s="10" t="str">
        <f aca="false">TEXT(A723,"ddd")</f>
        <v>Mon</v>
      </c>
      <c r="G723" s="10" t="str">
        <f aca="false">IF(WEEKDAY(A723,2)&gt;5,"Yes","No")</f>
        <v>No</v>
      </c>
      <c r="H723" s="10"/>
    </row>
    <row r="724" customFormat="false" ht="15" hidden="false" customHeight="true" outlineLevel="0" collapsed="false">
      <c r="A724" s="11" t="n">
        <v>46014</v>
      </c>
      <c r="B724" s="10" t="n">
        <f aca="false">YEAR(A724)</f>
        <v>2025</v>
      </c>
      <c r="C724" s="10" t="n">
        <f aca="false">MONTH(A724)</f>
        <v>12</v>
      </c>
      <c r="D724" s="10" t="str">
        <f aca="false">TEXT(A724,"mmm")</f>
        <v>Dec</v>
      </c>
      <c r="E724" s="10" t="str">
        <f aca="false">"Q"&amp;ROUNDUP(C724/3,0)</f>
        <v>Q4</v>
      </c>
      <c r="F724" s="10" t="str">
        <f aca="false">TEXT(A724,"ddd")</f>
        <v>Tue</v>
      </c>
      <c r="G724" s="10" t="str">
        <f aca="false">IF(WEEKDAY(A724,2)&gt;5,"Yes","No")</f>
        <v>No</v>
      </c>
      <c r="H724" s="10"/>
    </row>
    <row r="725" customFormat="false" ht="15" hidden="false" customHeight="true" outlineLevel="0" collapsed="false">
      <c r="A725" s="11" t="n">
        <v>46015</v>
      </c>
      <c r="B725" s="10" t="n">
        <f aca="false">YEAR(A725)</f>
        <v>2025</v>
      </c>
      <c r="C725" s="10" t="n">
        <f aca="false">MONTH(A725)</f>
        <v>12</v>
      </c>
      <c r="D725" s="10" t="str">
        <f aca="false">TEXT(A725,"mmm")</f>
        <v>Dec</v>
      </c>
      <c r="E725" s="10" t="str">
        <f aca="false">"Q"&amp;ROUNDUP(C725/3,0)</f>
        <v>Q4</v>
      </c>
      <c r="F725" s="10" t="str">
        <f aca="false">TEXT(A725,"ddd")</f>
        <v>Wed</v>
      </c>
      <c r="G725" s="10" t="str">
        <f aca="false">IF(WEEKDAY(A725,2)&gt;5,"Yes","No")</f>
        <v>No</v>
      </c>
      <c r="H725" s="10"/>
    </row>
    <row r="726" customFormat="false" ht="15" hidden="false" customHeight="true" outlineLevel="0" collapsed="false">
      <c r="A726" s="11" t="n">
        <v>46016</v>
      </c>
      <c r="B726" s="10" t="n">
        <f aca="false">YEAR(A726)</f>
        <v>2025</v>
      </c>
      <c r="C726" s="10" t="n">
        <f aca="false">MONTH(A726)</f>
        <v>12</v>
      </c>
      <c r="D726" s="10" t="str">
        <f aca="false">TEXT(A726,"mmm")</f>
        <v>Dec</v>
      </c>
      <c r="E726" s="10" t="str">
        <f aca="false">"Q"&amp;ROUNDUP(C726/3,0)</f>
        <v>Q4</v>
      </c>
      <c r="F726" s="10" t="str">
        <f aca="false">TEXT(A726,"ddd")</f>
        <v>Thu</v>
      </c>
      <c r="G726" s="10" t="str">
        <f aca="false">IF(WEEKDAY(A726,2)&gt;5,"Yes","No")</f>
        <v>No</v>
      </c>
      <c r="H726" s="10" t="s">
        <v>1003</v>
      </c>
    </row>
    <row r="727" customFormat="false" ht="15" hidden="false" customHeight="true" outlineLevel="0" collapsed="false">
      <c r="A727" s="11" t="n">
        <v>46017</v>
      </c>
      <c r="B727" s="10" t="n">
        <f aca="false">YEAR(A727)</f>
        <v>2025</v>
      </c>
      <c r="C727" s="10" t="n">
        <f aca="false">MONTH(A727)</f>
        <v>12</v>
      </c>
      <c r="D727" s="10" t="str">
        <f aca="false">TEXT(A727,"mmm")</f>
        <v>Dec</v>
      </c>
      <c r="E727" s="10" t="str">
        <f aca="false">"Q"&amp;ROUNDUP(C727/3,0)</f>
        <v>Q4</v>
      </c>
      <c r="F727" s="10" t="str">
        <f aca="false">TEXT(A727,"ddd")</f>
        <v>Fri</v>
      </c>
      <c r="G727" s="10" t="str">
        <f aca="false">IF(WEEKDAY(A727,2)&gt;5,"Yes","No")</f>
        <v>No</v>
      </c>
      <c r="H727" s="10" t="s">
        <v>1004</v>
      </c>
    </row>
    <row r="728" customFormat="false" ht="15" hidden="false" customHeight="true" outlineLevel="0" collapsed="false">
      <c r="A728" s="11" t="n">
        <v>46018</v>
      </c>
      <c r="B728" s="10" t="n">
        <f aca="false">YEAR(A728)</f>
        <v>2025</v>
      </c>
      <c r="C728" s="10" t="n">
        <f aca="false">MONTH(A728)</f>
        <v>12</v>
      </c>
      <c r="D728" s="10" t="str">
        <f aca="false">TEXT(A728,"mmm")</f>
        <v>Dec</v>
      </c>
      <c r="E728" s="10" t="str">
        <f aca="false">"Q"&amp;ROUNDUP(C728/3,0)</f>
        <v>Q4</v>
      </c>
      <c r="F728" s="10" t="str">
        <f aca="false">TEXT(A728,"ddd")</f>
        <v>Sat</v>
      </c>
      <c r="G728" s="10" t="str">
        <f aca="false">IF(WEEKDAY(A728,2)&gt;5,"Yes","No")</f>
        <v>Yes</v>
      </c>
      <c r="H728" s="10"/>
    </row>
    <row r="729" customFormat="false" ht="15" hidden="false" customHeight="true" outlineLevel="0" collapsed="false">
      <c r="A729" s="11" t="n">
        <v>46019</v>
      </c>
      <c r="B729" s="10" t="n">
        <f aca="false">YEAR(A729)</f>
        <v>2025</v>
      </c>
      <c r="C729" s="10" t="n">
        <f aca="false">MONTH(A729)</f>
        <v>12</v>
      </c>
      <c r="D729" s="10" t="str">
        <f aca="false">TEXT(A729,"mmm")</f>
        <v>Dec</v>
      </c>
      <c r="E729" s="10" t="str">
        <f aca="false">"Q"&amp;ROUNDUP(C729/3,0)</f>
        <v>Q4</v>
      </c>
      <c r="F729" s="10" t="str">
        <f aca="false">TEXT(A729,"ddd")</f>
        <v>Sun</v>
      </c>
      <c r="G729" s="10" t="str">
        <f aca="false">IF(WEEKDAY(A729,2)&gt;5,"Yes","No")</f>
        <v>Yes</v>
      </c>
      <c r="H729" s="10"/>
    </row>
    <row r="730" customFormat="false" ht="15" hidden="false" customHeight="true" outlineLevel="0" collapsed="false">
      <c r="A730" s="11" t="n">
        <v>46020</v>
      </c>
      <c r="B730" s="10" t="n">
        <f aca="false">YEAR(A730)</f>
        <v>2025</v>
      </c>
      <c r="C730" s="10" t="n">
        <f aca="false">MONTH(A730)</f>
        <v>12</v>
      </c>
      <c r="D730" s="10" t="str">
        <f aca="false">TEXT(A730,"mmm")</f>
        <v>Dec</v>
      </c>
      <c r="E730" s="10" t="str">
        <f aca="false">"Q"&amp;ROUNDUP(C730/3,0)</f>
        <v>Q4</v>
      </c>
      <c r="F730" s="10" t="str">
        <f aca="false">TEXT(A730,"ddd")</f>
        <v>Mon</v>
      </c>
      <c r="G730" s="10" t="str">
        <f aca="false">IF(WEEKDAY(A730,2)&gt;5,"Yes","No")</f>
        <v>No</v>
      </c>
      <c r="H730" s="10"/>
    </row>
    <row r="731" customFormat="false" ht="15" hidden="false" customHeight="true" outlineLevel="0" collapsed="false">
      <c r="A731" s="11" t="n">
        <v>46021</v>
      </c>
      <c r="B731" s="10" t="n">
        <f aca="false">YEAR(A731)</f>
        <v>2025</v>
      </c>
      <c r="C731" s="10" t="n">
        <f aca="false">MONTH(A731)</f>
        <v>12</v>
      </c>
      <c r="D731" s="10" t="str">
        <f aca="false">TEXT(A731,"mmm")</f>
        <v>Dec</v>
      </c>
      <c r="E731" s="10" t="str">
        <f aca="false">"Q"&amp;ROUNDUP(C731/3,0)</f>
        <v>Q4</v>
      </c>
      <c r="F731" s="10" t="str">
        <f aca="false">TEXT(A731,"ddd")</f>
        <v>Tue</v>
      </c>
      <c r="G731" s="10" t="str">
        <f aca="false">IF(WEEKDAY(A731,2)&gt;5,"Yes","No")</f>
        <v>No</v>
      </c>
      <c r="H731" s="10"/>
    </row>
    <row r="732" customFormat="false" ht="15" hidden="false" customHeight="true" outlineLevel="0" collapsed="false">
      <c r="A732" s="11" t="n">
        <v>46022</v>
      </c>
      <c r="B732" s="10" t="n">
        <f aca="false">YEAR(A732)</f>
        <v>2025</v>
      </c>
      <c r="C732" s="10" t="n">
        <f aca="false">MONTH(A732)</f>
        <v>12</v>
      </c>
      <c r="D732" s="10" t="str">
        <f aca="false">TEXT(A732,"mmm")</f>
        <v>Dec</v>
      </c>
      <c r="E732" s="10" t="str">
        <f aca="false">"Q"&amp;ROUNDUP(C732/3,0)</f>
        <v>Q4</v>
      </c>
      <c r="F732" s="10" t="str">
        <f aca="false">TEXT(A732,"ddd")</f>
        <v>Wed</v>
      </c>
      <c r="G732" s="10" t="str">
        <f aca="false">IF(WEEKDAY(A732,2)&gt;5,"Yes","No")</f>
        <v>No</v>
      </c>
      <c r="H732" s="10"/>
    </row>
  </sheetData>
  <autoFilter ref="A1:H73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0"/>
    <col collapsed="false" customWidth="true" hidden="false" outlineLevel="0" max="3" min="3" style="1" width="16"/>
    <col collapsed="false" customWidth="true" hidden="false" outlineLevel="0" max="4" min="4" style="1" width="34"/>
    <col collapsed="false" customWidth="true" hidden="false" outlineLevel="0" max="5" min="5" style="1" width="20"/>
    <col collapsed="false" customWidth="true" hidden="false" outlineLevel="0" max="7" min="6" style="1" width="60"/>
    <col collapsed="false" customWidth="true" hidden="false" outlineLevel="0" max="8" min="8" style="1" width="44"/>
  </cols>
  <sheetData>
    <row r="1" customFormat="false" ht="15" hidden="false" customHeight="true" outlineLevel="0" collapsed="false">
      <c r="A1" s="9" t="s">
        <v>1006</v>
      </c>
      <c r="B1" s="9" t="s">
        <v>1007</v>
      </c>
      <c r="C1" s="9" t="s">
        <v>1008</v>
      </c>
      <c r="D1" s="9" t="s">
        <v>1009</v>
      </c>
      <c r="E1" s="9" t="s">
        <v>1010</v>
      </c>
      <c r="F1" s="9" t="s">
        <v>1011</v>
      </c>
      <c r="G1" s="9" t="s">
        <v>1012</v>
      </c>
      <c r="H1" s="9" t="s">
        <v>1013</v>
      </c>
    </row>
    <row r="2" customFormat="false" ht="68.25" hidden="false" customHeight="true" outlineLevel="0" collapsed="false">
      <c r="A2" s="12" t="s">
        <v>1014</v>
      </c>
      <c r="B2" s="12" t="s">
        <v>1015</v>
      </c>
      <c r="C2" s="12" t="s">
        <v>1016</v>
      </c>
      <c r="D2" s="12" t="s">
        <v>1017</v>
      </c>
      <c r="E2" s="12" t="s">
        <v>1018</v>
      </c>
      <c r="F2" s="12" t="s">
        <v>1019</v>
      </c>
      <c r="G2" s="12" t="s">
        <v>1020</v>
      </c>
      <c r="H2" s="12" t="s">
        <v>1021</v>
      </c>
    </row>
    <row r="3" customFormat="false" ht="34.5" hidden="false" customHeight="true" outlineLevel="0" collapsed="false">
      <c r="A3" s="12" t="s">
        <v>1022</v>
      </c>
      <c r="B3" s="12" t="s">
        <v>1015</v>
      </c>
      <c r="C3" s="12" t="s">
        <v>1016</v>
      </c>
      <c r="D3" s="12" t="s">
        <v>1023</v>
      </c>
      <c r="E3" s="12" t="s">
        <v>1024</v>
      </c>
      <c r="F3" s="12" t="s">
        <v>1025</v>
      </c>
      <c r="G3" s="12" t="s">
        <v>1026</v>
      </c>
      <c r="H3" s="12" t="s">
        <v>1027</v>
      </c>
    </row>
    <row r="4" customFormat="false" ht="23.25" hidden="false" customHeight="true" outlineLevel="0" collapsed="false">
      <c r="A4" s="12" t="s">
        <v>1028</v>
      </c>
      <c r="B4" s="12" t="s">
        <v>1029</v>
      </c>
      <c r="C4" s="12" t="s">
        <v>1016</v>
      </c>
      <c r="D4" s="12" t="s">
        <v>1030</v>
      </c>
      <c r="E4" s="12" t="s">
        <v>1031</v>
      </c>
      <c r="F4" s="12" t="s">
        <v>1032</v>
      </c>
      <c r="G4" s="12" t="s">
        <v>1033</v>
      </c>
      <c r="H4" s="12" t="s">
        <v>1034</v>
      </c>
    </row>
    <row r="5" customFormat="false" ht="57" hidden="false" customHeight="true" outlineLevel="0" collapsed="false">
      <c r="A5" s="12" t="s">
        <v>1035</v>
      </c>
      <c r="B5" s="12" t="s">
        <v>1036</v>
      </c>
      <c r="C5" s="12" t="s">
        <v>1016</v>
      </c>
      <c r="D5" s="12" t="s">
        <v>1037</v>
      </c>
      <c r="E5" s="12" t="s">
        <v>1038</v>
      </c>
      <c r="F5" s="12" t="s">
        <v>1039</v>
      </c>
      <c r="G5" s="12" t="s">
        <v>1040</v>
      </c>
      <c r="H5" s="12" t="s">
        <v>1041</v>
      </c>
    </row>
    <row r="6" customFormat="false" ht="34.5" hidden="false" customHeight="true" outlineLevel="0" collapsed="false">
      <c r="A6" s="12" t="s">
        <v>1042</v>
      </c>
      <c r="B6" s="12" t="s">
        <v>1029</v>
      </c>
      <c r="C6" s="12" t="s">
        <v>1016</v>
      </c>
      <c r="D6" s="12" t="s">
        <v>1043</v>
      </c>
      <c r="E6" s="12" t="s">
        <v>753</v>
      </c>
      <c r="F6" s="12" t="s">
        <v>1044</v>
      </c>
      <c r="G6" s="12" t="s">
        <v>1045</v>
      </c>
      <c r="H6" s="12" t="s">
        <v>1046</v>
      </c>
    </row>
    <row r="7" customFormat="false" ht="34.5" hidden="false" customHeight="true" outlineLevel="0" collapsed="false">
      <c r="A7" s="12" t="s">
        <v>1047</v>
      </c>
      <c r="B7" s="12" t="s">
        <v>1015</v>
      </c>
      <c r="C7" s="12" t="s">
        <v>1016</v>
      </c>
      <c r="D7" s="12" t="s">
        <v>1048</v>
      </c>
      <c r="E7" s="12" t="s">
        <v>753</v>
      </c>
      <c r="F7" s="12" t="s">
        <v>1049</v>
      </c>
      <c r="G7" s="12" t="s">
        <v>1050</v>
      </c>
      <c r="H7" s="12" t="s">
        <v>1051</v>
      </c>
    </row>
    <row r="8" customFormat="false" ht="23.25" hidden="false" customHeight="true" outlineLevel="0" collapsed="false">
      <c r="A8" s="12" t="s">
        <v>1052</v>
      </c>
      <c r="B8" s="12" t="s">
        <v>1036</v>
      </c>
      <c r="C8" s="12" t="s">
        <v>1016</v>
      </c>
      <c r="D8" s="12" t="s">
        <v>1053</v>
      </c>
      <c r="E8" s="12" t="s">
        <v>1054</v>
      </c>
      <c r="F8" s="12" t="s">
        <v>1055</v>
      </c>
      <c r="G8" s="12" t="s">
        <v>1056</v>
      </c>
      <c r="H8" s="12" t="s">
        <v>1057</v>
      </c>
    </row>
    <row r="9" customFormat="false" ht="34.5" hidden="false" customHeight="true" outlineLevel="0" collapsed="false">
      <c r="A9" s="12" t="s">
        <v>1058</v>
      </c>
      <c r="B9" s="12" t="s">
        <v>1015</v>
      </c>
      <c r="C9" s="12" t="s">
        <v>1016</v>
      </c>
      <c r="D9" s="12" t="s">
        <v>1059</v>
      </c>
      <c r="E9" s="12" t="s">
        <v>1060</v>
      </c>
      <c r="F9" s="12" t="s">
        <v>1061</v>
      </c>
      <c r="G9" s="12" t="s">
        <v>1062</v>
      </c>
      <c r="H9" s="12" t="s">
        <v>1063</v>
      </c>
    </row>
    <row r="10" customFormat="false" ht="23.25" hidden="false" customHeight="true" outlineLevel="0" collapsed="false">
      <c r="A10" s="12" t="s">
        <v>1064</v>
      </c>
      <c r="B10" s="12" t="s">
        <v>1015</v>
      </c>
      <c r="C10" s="12" t="s">
        <v>1016</v>
      </c>
      <c r="D10" s="12" t="s">
        <v>1065</v>
      </c>
      <c r="E10" s="12" t="s">
        <v>1066</v>
      </c>
      <c r="F10" s="12" t="s">
        <v>1067</v>
      </c>
      <c r="G10" s="12" t="s">
        <v>1068</v>
      </c>
      <c r="H10" s="12" t="s">
        <v>1069</v>
      </c>
    </row>
    <row r="11" customFormat="false" ht="45.75" hidden="false" customHeight="true" outlineLevel="0" collapsed="false">
      <c r="A11" s="12" t="s">
        <v>1070</v>
      </c>
      <c r="B11" s="12" t="s">
        <v>1015</v>
      </c>
      <c r="C11" s="12" t="s">
        <v>1016</v>
      </c>
      <c r="D11" s="12" t="s">
        <v>1071</v>
      </c>
      <c r="E11" s="12" t="s">
        <v>1072</v>
      </c>
      <c r="F11" s="12" t="s">
        <v>1073</v>
      </c>
      <c r="G11" s="12" t="s">
        <v>1074</v>
      </c>
      <c r="H11" s="12" t="s">
        <v>1075</v>
      </c>
    </row>
    <row r="12" customFormat="false" ht="23.25" hidden="false" customHeight="true" outlineLevel="0" collapsed="false">
      <c r="A12" s="12" t="s">
        <v>1076</v>
      </c>
      <c r="B12" s="12" t="s">
        <v>1029</v>
      </c>
      <c r="C12" s="12" t="s">
        <v>1016</v>
      </c>
      <c r="D12" s="12" t="s">
        <v>1077</v>
      </c>
      <c r="E12" s="12" t="s">
        <v>1072</v>
      </c>
      <c r="F12" s="12" t="s">
        <v>1078</v>
      </c>
      <c r="G12" s="12" t="s">
        <v>1079</v>
      </c>
      <c r="H12" s="12" t="s">
        <v>1080</v>
      </c>
    </row>
    <row r="13" customFormat="false" ht="23.25" hidden="false" customHeight="true" outlineLevel="0" collapsed="false">
      <c r="A13" s="12" t="s">
        <v>1081</v>
      </c>
      <c r="B13" s="12" t="s">
        <v>1029</v>
      </c>
      <c r="C13" s="12" t="s">
        <v>1016</v>
      </c>
      <c r="D13" s="12" t="s">
        <v>1082</v>
      </c>
      <c r="E13" s="12" t="s">
        <v>1072</v>
      </c>
      <c r="F13" s="12" t="s">
        <v>1083</v>
      </c>
      <c r="G13" s="12" t="s">
        <v>1084</v>
      </c>
      <c r="H13" s="12" t="s">
        <v>1085</v>
      </c>
    </row>
    <row r="14" customFormat="false" ht="23.25" hidden="false" customHeight="true" outlineLevel="0" collapsed="false">
      <c r="A14" s="12" t="s">
        <v>1086</v>
      </c>
      <c r="B14" s="12" t="s">
        <v>1029</v>
      </c>
      <c r="C14" s="12" t="s">
        <v>1016</v>
      </c>
      <c r="D14" s="12" t="s">
        <v>1087</v>
      </c>
      <c r="E14" s="12" t="s">
        <v>1072</v>
      </c>
      <c r="F14" s="12" t="s">
        <v>1088</v>
      </c>
      <c r="G14" s="12" t="s">
        <v>1089</v>
      </c>
      <c r="H14" s="12" t="s">
        <v>1090</v>
      </c>
    </row>
    <row r="15" customFormat="false" ht="34.5" hidden="false" customHeight="true" outlineLevel="0" collapsed="false">
      <c r="A15" s="12" t="s">
        <v>1091</v>
      </c>
      <c r="B15" s="12" t="s">
        <v>1036</v>
      </c>
      <c r="C15" s="12" t="s">
        <v>963</v>
      </c>
      <c r="D15" s="12" t="s">
        <v>1092</v>
      </c>
      <c r="E15" s="12" t="s">
        <v>1093</v>
      </c>
      <c r="F15" s="12" t="s">
        <v>1094</v>
      </c>
      <c r="G15" s="12" t="s">
        <v>1095</v>
      </c>
      <c r="H15" s="12" t="s">
        <v>1096</v>
      </c>
    </row>
    <row r="16" customFormat="false" ht="15" hidden="false" customHeight="true" outlineLevel="0" collapsed="false">
      <c r="A16" s="12" t="s">
        <v>1097</v>
      </c>
      <c r="B16" s="12" t="s">
        <v>1015</v>
      </c>
      <c r="C16" s="12" t="s">
        <v>963</v>
      </c>
      <c r="D16" s="12" t="s">
        <v>955</v>
      </c>
      <c r="E16" s="12" t="s">
        <v>1098</v>
      </c>
      <c r="F16" s="12" t="s">
        <v>1099</v>
      </c>
      <c r="G16" s="12" t="s">
        <v>1100</v>
      </c>
      <c r="H16" s="12" t="s">
        <v>1101</v>
      </c>
    </row>
    <row r="17" customFormat="false" ht="23.25" hidden="false" customHeight="true" outlineLevel="0" collapsed="false">
      <c r="A17" s="12" t="s">
        <v>1102</v>
      </c>
      <c r="B17" s="12" t="s">
        <v>1015</v>
      </c>
      <c r="C17" s="12" t="s">
        <v>963</v>
      </c>
      <c r="D17" s="12" t="s">
        <v>967</v>
      </c>
      <c r="E17" s="12" t="s">
        <v>1098</v>
      </c>
      <c r="F17" s="12" t="s">
        <v>1103</v>
      </c>
      <c r="G17" s="12" t="s">
        <v>1104</v>
      </c>
      <c r="H17" s="12" t="s">
        <v>1105</v>
      </c>
    </row>
    <row r="18" customFormat="false" ht="23.25" hidden="false" customHeight="true" outlineLevel="0" collapsed="false">
      <c r="A18" s="12" t="s">
        <v>1106</v>
      </c>
      <c r="B18" s="12" t="s">
        <v>1029</v>
      </c>
      <c r="C18" s="12" t="s">
        <v>963</v>
      </c>
      <c r="D18" s="12" t="s">
        <v>1107</v>
      </c>
      <c r="E18" s="12" t="s">
        <v>1108</v>
      </c>
      <c r="F18" s="12" t="s">
        <v>1109</v>
      </c>
      <c r="G18" s="12" t="s">
        <v>1110</v>
      </c>
      <c r="H18" s="12" t="s">
        <v>1111</v>
      </c>
    </row>
    <row r="19" customFormat="false" ht="23.25" hidden="false" customHeight="true" outlineLevel="0" collapsed="false">
      <c r="A19" s="12" t="s">
        <v>1112</v>
      </c>
      <c r="B19" s="12" t="s">
        <v>1029</v>
      </c>
      <c r="C19" s="12" t="s">
        <v>963</v>
      </c>
      <c r="D19" s="12" t="s">
        <v>1113</v>
      </c>
      <c r="E19" s="12" t="s">
        <v>1108</v>
      </c>
      <c r="F19" s="12" t="s">
        <v>1114</v>
      </c>
      <c r="G19" s="12" t="s">
        <v>1115</v>
      </c>
      <c r="H19" s="12" t="s">
        <v>1116</v>
      </c>
    </row>
    <row r="20" customFormat="false" ht="23.25" hidden="false" customHeight="true" outlineLevel="0" collapsed="false">
      <c r="A20" s="12" t="s">
        <v>1117</v>
      </c>
      <c r="B20" s="12" t="s">
        <v>1036</v>
      </c>
      <c r="C20" s="12" t="s">
        <v>1118</v>
      </c>
      <c r="D20" s="12" t="s">
        <v>1119</v>
      </c>
      <c r="E20" s="12" t="s">
        <v>1120</v>
      </c>
      <c r="F20" s="12" t="s">
        <v>1121</v>
      </c>
      <c r="G20" s="12" t="s">
        <v>1122</v>
      </c>
      <c r="H20" s="12" t="s">
        <v>1123</v>
      </c>
    </row>
    <row r="21" customFormat="false" ht="23.25" hidden="false" customHeight="true" outlineLevel="0" collapsed="false">
      <c r="A21" s="12" t="s">
        <v>1124</v>
      </c>
      <c r="B21" s="12" t="s">
        <v>1029</v>
      </c>
      <c r="C21" s="12" t="s">
        <v>1125</v>
      </c>
      <c r="D21" s="12" t="s">
        <v>1126</v>
      </c>
      <c r="E21" s="12" t="s">
        <v>1127</v>
      </c>
      <c r="F21" s="12" t="s">
        <v>1128</v>
      </c>
      <c r="G21" s="12" t="s">
        <v>1129</v>
      </c>
      <c r="H21" s="12" t="s">
        <v>1130</v>
      </c>
    </row>
    <row r="22" customFormat="false" ht="68.65" hidden="false" customHeight="false" outlineLevel="0" collapsed="false">
      <c r="A22" s="12" t="s">
        <v>1131</v>
      </c>
      <c r="B22" s="12" t="s">
        <v>1036</v>
      </c>
      <c r="C22" s="12" t="s">
        <v>1125</v>
      </c>
      <c r="D22" s="12" t="s">
        <v>1132</v>
      </c>
      <c r="E22" s="12" t="s">
        <v>1133</v>
      </c>
      <c r="F22" s="12" t="s">
        <v>1134</v>
      </c>
      <c r="G22" s="12" t="s">
        <v>1135</v>
      </c>
      <c r="H22" s="12" t="s">
        <v>1136</v>
      </c>
    </row>
  </sheetData>
  <autoFilter ref="A1:H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44"/>
    <col collapsed="false" customWidth="true" hidden="false" outlineLevel="0" max="5" min="4" style="1" width="11"/>
    <col collapsed="false" customWidth="true" hidden="false" outlineLevel="0" max="6" min="6" style="1" width="16"/>
    <col collapsed="false" customWidth="true" hidden="false" outlineLevel="0" max="7" min="7" style="1" width="10"/>
    <col collapsed="false" customWidth="true" hidden="false" outlineLevel="0" max="8" min="8" style="1" width="8"/>
    <col collapsed="false" customWidth="true" hidden="false" outlineLevel="0" max="9" min="9" style="1" width="13"/>
    <col collapsed="false" customWidth="true" hidden="false" outlineLevel="0" max="10" min="10" style="1" width="12"/>
    <col collapsed="false" customWidth="true" hidden="false" outlineLevel="0" max="11" min="11" style="1" width="9"/>
    <col collapsed="false" customWidth="true" hidden="false" outlineLevel="0" max="12" min="12" style="1" width="52"/>
  </cols>
  <sheetData>
    <row r="1" customFormat="false" ht="15" hidden="false" customHeight="true" outlineLevel="0" collapsed="false">
      <c r="A1" s="2" t="s">
        <v>1137</v>
      </c>
    </row>
    <row r="2" customFormat="false" ht="15" hidden="false" customHeight="true" outlineLevel="0" collapsed="false">
      <c r="A2" s="19" t="s">
        <v>1138</v>
      </c>
    </row>
    <row r="4" customFormat="false" ht="15" hidden="false" customHeight="true" outlineLevel="0" collapsed="false">
      <c r="A4" s="9" t="s">
        <v>753</v>
      </c>
      <c r="B4" s="9" t="s">
        <v>1139</v>
      </c>
      <c r="C4" s="9" t="s">
        <v>1072</v>
      </c>
      <c r="D4" s="9" t="s">
        <v>1140</v>
      </c>
      <c r="E4" s="9" t="s">
        <v>1141</v>
      </c>
      <c r="F4" s="9" t="s">
        <v>1060</v>
      </c>
      <c r="G4" s="9" t="s">
        <v>1108</v>
      </c>
      <c r="H4" s="9" t="s">
        <v>37</v>
      </c>
      <c r="I4" s="9" t="s">
        <v>1133</v>
      </c>
      <c r="J4" s="9" t="s">
        <v>1142</v>
      </c>
      <c r="K4" s="9" t="s">
        <v>1143</v>
      </c>
      <c r="L4" s="9" t="s">
        <v>1144</v>
      </c>
    </row>
    <row r="5" customFormat="false" ht="15" hidden="false" customHeight="true" outlineLevel="0" collapsed="false">
      <c r="A5" s="20" t="n">
        <v>45726</v>
      </c>
      <c r="B5" s="21" t="s">
        <v>960</v>
      </c>
      <c r="C5" s="21" t="s">
        <v>939</v>
      </c>
      <c r="D5" s="22" t="n">
        <v>0.25</v>
      </c>
      <c r="E5" s="22" t="n">
        <v>0.75</v>
      </c>
      <c r="F5" s="21" t="s">
        <v>975</v>
      </c>
      <c r="G5" s="21" t="n">
        <v>7</v>
      </c>
      <c r="H5" s="21" t="n">
        <v>1</v>
      </c>
      <c r="I5" s="23" t="n">
        <v>850</v>
      </c>
      <c r="J5" s="24" t="n">
        <f aca="false">IF(AND(ISNUMBER(H5),ISNUMBER(I5)),H5*I5,"")</f>
        <v>850</v>
      </c>
      <c r="K5" s="25" t="n">
        <f aca="false">IF(ISNUMBER(A5),WEEKNUM(A5,2),"")</f>
        <v>11</v>
      </c>
      <c r="L5" s="25" t="str">
        <f aca="false">IF(OR(A5="",C5=""),"",IF(COUNTIFS($A$5:$A$64,A5,$C$5:$C$64,C5,$B$5:$B$64,"&lt;&gt;"&amp;B5)&gt;0,"Same site, same day, another department: consider combining",""))</f>
        <v>Same site, same day, another department: consider combining</v>
      </c>
    </row>
    <row r="6" customFormat="false" ht="15" hidden="false" customHeight="true" outlineLevel="0" collapsed="false">
      <c r="A6" s="20" t="n">
        <v>45726</v>
      </c>
      <c r="B6" s="21" t="s">
        <v>964</v>
      </c>
      <c r="C6" s="21" t="s">
        <v>939</v>
      </c>
      <c r="D6" s="22" t="n">
        <v>0.291666666666667</v>
      </c>
      <c r="E6" s="22" t="n">
        <v>0.666666666666667</v>
      </c>
      <c r="F6" s="21" t="s">
        <v>975</v>
      </c>
      <c r="G6" s="21" t="n">
        <v>7</v>
      </c>
      <c r="H6" s="21" t="n">
        <v>1</v>
      </c>
      <c r="I6" s="23" t="n">
        <v>780</v>
      </c>
      <c r="J6" s="24" t="n">
        <f aca="false">IF(AND(ISNUMBER(H6),ISNUMBER(I6)),H6*I6,"")</f>
        <v>780</v>
      </c>
      <c r="K6" s="25" t="n">
        <f aca="false">IF(ISNUMBER(A6),WEEKNUM(A6,2),"")</f>
        <v>11</v>
      </c>
      <c r="L6" s="25" t="str">
        <f aca="false">IF(OR(A6="",C6=""),"",IF(COUNTIFS($A$5:$A$64,A6,$C$5:$C$64,C6,$B$5:$B$64,"&lt;&gt;"&amp;B6)&gt;0,"Same site, same day, another department: consider combining",""))</f>
        <v>Same site, same day, another department: consider combining</v>
      </c>
    </row>
    <row r="7" customFormat="false" ht="15" hidden="false" customHeight="true" outlineLevel="0" collapsed="false">
      <c r="A7" s="20" t="n">
        <v>45727</v>
      </c>
      <c r="B7" s="21" t="s">
        <v>955</v>
      </c>
      <c r="C7" s="21" t="s">
        <v>828</v>
      </c>
      <c r="D7" s="22" t="n">
        <v>0.229166666666667</v>
      </c>
      <c r="E7" s="22" t="n">
        <v>0.8125</v>
      </c>
      <c r="F7" s="21" t="s">
        <v>977</v>
      </c>
      <c r="G7" s="21" t="n">
        <v>13</v>
      </c>
      <c r="H7" s="21" t="n">
        <v>1</v>
      </c>
      <c r="I7" s="23" t="n">
        <v>980</v>
      </c>
      <c r="J7" s="24" t="n">
        <f aca="false">IF(AND(ISNUMBER(H7),ISNUMBER(I7)),H7*I7,"")</f>
        <v>980</v>
      </c>
      <c r="K7" s="25" t="n">
        <f aca="false">IF(ISNUMBER(A7),WEEKNUM(A7,2),"")</f>
        <v>11</v>
      </c>
      <c r="L7" s="25" t="str">
        <f aca="false">IF(OR(A7="",C7=""),"",IF(COUNTIFS($A$5:$A$64,A7,$C$5:$C$64,C7,$B$5:$B$64,"&lt;&gt;"&amp;B7)&gt;0,"Same site, same day, another department: consider combining",""))</f>
        <v/>
      </c>
    </row>
    <row r="8" customFormat="false" ht="15" hidden="false" customHeight="true" outlineLevel="0" collapsed="false">
      <c r="A8" s="20"/>
      <c r="B8" s="21"/>
      <c r="C8" s="21"/>
      <c r="D8" s="22"/>
      <c r="E8" s="22"/>
      <c r="F8" s="21"/>
      <c r="G8" s="21"/>
      <c r="H8" s="21"/>
      <c r="I8" s="23"/>
      <c r="J8" s="24" t="str">
        <f aca="false">IF(AND(ISNUMBER(H8),ISNUMBER(I8)),H8*I8,"")</f>
        <v/>
      </c>
      <c r="K8" s="25" t="str">
        <f aca="false">IF(ISNUMBER(A8),WEEKNUM(A8,2),"")</f>
        <v/>
      </c>
      <c r="L8" s="25" t="str">
        <f aca="false">IF(OR(A8="",C8=""),"",IF(COUNTIFS($A$5:$A$64,A8,$C$5:$C$64,C8,$B$5:$B$64,"&lt;&gt;"&amp;B8)&gt;0,"Same site, same day, another department: consider combining",""))</f>
        <v/>
      </c>
    </row>
    <row r="9" customFormat="false" ht="15" hidden="false" customHeight="true" outlineLevel="0" collapsed="false">
      <c r="A9" s="20"/>
      <c r="B9" s="21"/>
      <c r="C9" s="21"/>
      <c r="D9" s="22"/>
      <c r="E9" s="22"/>
      <c r="F9" s="21"/>
      <c r="G9" s="21"/>
      <c r="H9" s="21"/>
      <c r="I9" s="23"/>
      <c r="J9" s="24" t="str">
        <f aca="false">IF(AND(ISNUMBER(H9),ISNUMBER(I9)),H9*I9,"")</f>
        <v/>
      </c>
      <c r="K9" s="25" t="str">
        <f aca="false">IF(ISNUMBER(A9),WEEKNUM(A9,2),"")</f>
        <v/>
      </c>
      <c r="L9" s="25" t="str">
        <f aca="false">IF(OR(A9="",C9=""),"",IF(COUNTIFS($A$5:$A$64,A9,$C$5:$C$64,C9,$B$5:$B$64,"&lt;&gt;"&amp;B9)&gt;0,"Same site, same day, another department: consider combining",""))</f>
        <v/>
      </c>
    </row>
    <row r="10" customFormat="false" ht="15" hidden="false" customHeight="true" outlineLevel="0" collapsed="false">
      <c r="A10" s="20"/>
      <c r="B10" s="21"/>
      <c r="C10" s="21"/>
      <c r="D10" s="22"/>
      <c r="E10" s="22"/>
      <c r="F10" s="21"/>
      <c r="G10" s="21"/>
      <c r="H10" s="21"/>
      <c r="I10" s="23"/>
      <c r="J10" s="24" t="str">
        <f aca="false">IF(AND(ISNUMBER(H10),ISNUMBER(I10)),H10*I10,"")</f>
        <v/>
      </c>
      <c r="K10" s="25" t="str">
        <f aca="false">IF(ISNUMBER(A10),WEEKNUM(A10,2),"")</f>
        <v/>
      </c>
      <c r="L10" s="25" t="str">
        <f aca="false">IF(OR(A10="",C10=""),"",IF(COUNTIFS($A$5:$A$64,A10,$C$5:$C$64,C10,$B$5:$B$64,"&lt;&gt;"&amp;B10)&gt;0,"Same site, same day, another department: consider combining",""))</f>
        <v/>
      </c>
    </row>
    <row r="11" customFormat="false" ht="15" hidden="false" customHeight="true" outlineLevel="0" collapsed="false">
      <c r="A11" s="20"/>
      <c r="B11" s="21"/>
      <c r="C11" s="21"/>
      <c r="D11" s="22"/>
      <c r="E11" s="22"/>
      <c r="F11" s="21"/>
      <c r="G11" s="21"/>
      <c r="H11" s="21"/>
      <c r="I11" s="23"/>
      <c r="J11" s="24" t="str">
        <f aca="false">IF(AND(ISNUMBER(H11),ISNUMBER(I11)),H11*I11,"")</f>
        <v/>
      </c>
      <c r="K11" s="25" t="str">
        <f aca="false">IF(ISNUMBER(A11),WEEKNUM(A11,2),"")</f>
        <v/>
      </c>
      <c r="L11" s="25" t="str">
        <f aca="false">IF(OR(A11="",C11=""),"",IF(COUNTIFS($A$5:$A$64,A11,$C$5:$C$64,C11,$B$5:$B$64,"&lt;&gt;"&amp;B11)&gt;0,"Same site, same day, another department: consider combining",""))</f>
        <v/>
      </c>
    </row>
    <row r="12" customFormat="false" ht="15" hidden="false" customHeight="true" outlineLevel="0" collapsed="false">
      <c r="A12" s="20"/>
      <c r="B12" s="21"/>
      <c r="C12" s="21"/>
      <c r="D12" s="22"/>
      <c r="E12" s="22"/>
      <c r="F12" s="21"/>
      <c r="G12" s="21"/>
      <c r="H12" s="21"/>
      <c r="I12" s="23"/>
      <c r="J12" s="24" t="str">
        <f aca="false">IF(AND(ISNUMBER(H12),ISNUMBER(I12)),H12*I12,"")</f>
        <v/>
      </c>
      <c r="K12" s="25" t="str">
        <f aca="false">IF(ISNUMBER(A12),WEEKNUM(A12,2),"")</f>
        <v/>
      </c>
      <c r="L12" s="25" t="str">
        <f aca="false">IF(OR(A12="",C12=""),"",IF(COUNTIFS($A$5:$A$64,A12,$C$5:$C$64,C12,$B$5:$B$64,"&lt;&gt;"&amp;B12)&gt;0,"Same site, same day, another department: consider combining",""))</f>
        <v/>
      </c>
    </row>
    <row r="13" customFormat="false" ht="15" hidden="false" customHeight="true" outlineLevel="0" collapsed="false">
      <c r="A13" s="20"/>
      <c r="B13" s="21"/>
      <c r="C13" s="21"/>
      <c r="D13" s="22"/>
      <c r="E13" s="22"/>
      <c r="F13" s="21"/>
      <c r="G13" s="21"/>
      <c r="H13" s="21"/>
      <c r="I13" s="23"/>
      <c r="J13" s="24" t="str">
        <f aca="false">IF(AND(ISNUMBER(H13),ISNUMBER(I13)),H13*I13,"")</f>
        <v/>
      </c>
      <c r="K13" s="25" t="str">
        <f aca="false">IF(ISNUMBER(A13),WEEKNUM(A13,2),"")</f>
        <v/>
      </c>
      <c r="L13" s="25" t="str">
        <f aca="false">IF(OR(A13="",C13=""),"",IF(COUNTIFS($A$5:$A$64,A13,$C$5:$C$64,C13,$B$5:$B$64,"&lt;&gt;"&amp;B13)&gt;0,"Same site, same day, another department: consider combining",""))</f>
        <v/>
      </c>
    </row>
    <row r="14" customFormat="false" ht="15" hidden="false" customHeight="true" outlineLevel="0" collapsed="false">
      <c r="A14" s="20"/>
      <c r="B14" s="21"/>
      <c r="C14" s="21"/>
      <c r="D14" s="22"/>
      <c r="E14" s="22"/>
      <c r="F14" s="21"/>
      <c r="G14" s="21"/>
      <c r="H14" s="21"/>
      <c r="I14" s="23"/>
      <c r="J14" s="24" t="str">
        <f aca="false">IF(AND(ISNUMBER(H14),ISNUMBER(I14)),H14*I14,"")</f>
        <v/>
      </c>
      <c r="K14" s="25" t="str">
        <f aca="false">IF(ISNUMBER(A14),WEEKNUM(A14,2),"")</f>
        <v/>
      </c>
      <c r="L14" s="25" t="str">
        <f aca="false">IF(OR(A14="",C14=""),"",IF(COUNTIFS($A$5:$A$64,A14,$C$5:$C$64,C14,$B$5:$B$64,"&lt;&gt;"&amp;B14)&gt;0,"Same site, same day, another department: consider combining",""))</f>
        <v/>
      </c>
    </row>
    <row r="15" customFormat="false" ht="15" hidden="false" customHeight="true" outlineLevel="0" collapsed="false">
      <c r="A15" s="20"/>
      <c r="B15" s="21"/>
      <c r="C15" s="21"/>
      <c r="D15" s="22"/>
      <c r="E15" s="22"/>
      <c r="F15" s="21"/>
      <c r="G15" s="21"/>
      <c r="H15" s="21"/>
      <c r="I15" s="23"/>
      <c r="J15" s="24" t="str">
        <f aca="false">IF(AND(ISNUMBER(H15),ISNUMBER(I15)),H15*I15,"")</f>
        <v/>
      </c>
      <c r="K15" s="25" t="str">
        <f aca="false">IF(ISNUMBER(A15),WEEKNUM(A15,2),"")</f>
        <v/>
      </c>
      <c r="L15" s="25" t="str">
        <f aca="false">IF(OR(A15="",C15=""),"",IF(COUNTIFS($A$5:$A$64,A15,$C$5:$C$64,C15,$B$5:$B$64,"&lt;&gt;"&amp;B15)&gt;0,"Same site, same day, another department: consider combining",""))</f>
        <v/>
      </c>
    </row>
    <row r="16" customFormat="false" ht="15" hidden="false" customHeight="true" outlineLevel="0" collapsed="false">
      <c r="A16" s="20"/>
      <c r="B16" s="21"/>
      <c r="C16" s="21"/>
      <c r="D16" s="22"/>
      <c r="E16" s="22"/>
      <c r="F16" s="21"/>
      <c r="G16" s="21"/>
      <c r="H16" s="21"/>
      <c r="I16" s="23"/>
      <c r="J16" s="24" t="str">
        <f aca="false">IF(AND(ISNUMBER(H16),ISNUMBER(I16)),H16*I16,"")</f>
        <v/>
      </c>
      <c r="K16" s="25" t="str">
        <f aca="false">IF(ISNUMBER(A16),WEEKNUM(A16,2),"")</f>
        <v/>
      </c>
      <c r="L16" s="25" t="str">
        <f aca="false">IF(OR(A16="",C16=""),"",IF(COUNTIFS($A$5:$A$64,A16,$C$5:$C$64,C16,$B$5:$B$64,"&lt;&gt;"&amp;B16)&gt;0,"Same site, same day, another department: consider combining",""))</f>
        <v/>
      </c>
    </row>
    <row r="17" customFormat="false" ht="15" hidden="false" customHeight="true" outlineLevel="0" collapsed="false">
      <c r="A17" s="20"/>
      <c r="B17" s="21"/>
      <c r="C17" s="21"/>
      <c r="D17" s="22"/>
      <c r="E17" s="22"/>
      <c r="F17" s="21"/>
      <c r="G17" s="21"/>
      <c r="H17" s="21"/>
      <c r="I17" s="23"/>
      <c r="J17" s="24" t="str">
        <f aca="false">IF(AND(ISNUMBER(H17),ISNUMBER(I17)),H17*I17,"")</f>
        <v/>
      </c>
      <c r="K17" s="25" t="str">
        <f aca="false">IF(ISNUMBER(A17),WEEKNUM(A17,2),"")</f>
        <v/>
      </c>
      <c r="L17" s="25" t="str">
        <f aca="false">IF(OR(A17="",C17=""),"",IF(COUNTIFS($A$5:$A$64,A17,$C$5:$C$64,C17,$B$5:$B$64,"&lt;&gt;"&amp;B17)&gt;0,"Same site, same day, another department: consider combining",""))</f>
        <v/>
      </c>
    </row>
    <row r="18" customFormat="false" ht="15" hidden="false" customHeight="true" outlineLevel="0" collapsed="false">
      <c r="A18" s="20"/>
      <c r="B18" s="21"/>
      <c r="C18" s="21"/>
      <c r="D18" s="22"/>
      <c r="E18" s="22"/>
      <c r="F18" s="21"/>
      <c r="G18" s="21"/>
      <c r="H18" s="21"/>
      <c r="I18" s="23"/>
      <c r="J18" s="24" t="str">
        <f aca="false">IF(AND(ISNUMBER(H18),ISNUMBER(I18)),H18*I18,"")</f>
        <v/>
      </c>
      <c r="K18" s="25" t="str">
        <f aca="false">IF(ISNUMBER(A18),WEEKNUM(A18,2),"")</f>
        <v/>
      </c>
      <c r="L18" s="25" t="str">
        <f aca="false">IF(OR(A18="",C18=""),"",IF(COUNTIFS($A$5:$A$64,A18,$C$5:$C$64,C18,$B$5:$B$64,"&lt;&gt;"&amp;B18)&gt;0,"Same site, same day, another department: consider combining",""))</f>
        <v/>
      </c>
    </row>
    <row r="19" customFormat="false" ht="15" hidden="false" customHeight="true" outlineLevel="0" collapsed="false">
      <c r="A19" s="20"/>
      <c r="B19" s="21"/>
      <c r="C19" s="21"/>
      <c r="D19" s="22"/>
      <c r="E19" s="22"/>
      <c r="F19" s="21"/>
      <c r="G19" s="21"/>
      <c r="H19" s="21"/>
      <c r="I19" s="23"/>
      <c r="J19" s="24" t="str">
        <f aca="false">IF(AND(ISNUMBER(H19),ISNUMBER(I19)),H19*I19,"")</f>
        <v/>
      </c>
      <c r="K19" s="25" t="str">
        <f aca="false">IF(ISNUMBER(A19),WEEKNUM(A19,2),"")</f>
        <v/>
      </c>
      <c r="L19" s="25" t="str">
        <f aca="false">IF(OR(A19="",C19=""),"",IF(COUNTIFS($A$5:$A$64,A19,$C$5:$C$64,C19,$B$5:$B$64,"&lt;&gt;"&amp;B19)&gt;0,"Same site, same day, another department: consider combining",""))</f>
        <v/>
      </c>
    </row>
    <row r="20" customFormat="false" ht="15" hidden="false" customHeight="true" outlineLevel="0" collapsed="false">
      <c r="A20" s="20"/>
      <c r="B20" s="21"/>
      <c r="C20" s="21"/>
      <c r="D20" s="22"/>
      <c r="E20" s="22"/>
      <c r="F20" s="21"/>
      <c r="G20" s="21"/>
      <c r="H20" s="21"/>
      <c r="I20" s="23"/>
      <c r="J20" s="24" t="str">
        <f aca="false">IF(AND(ISNUMBER(H20),ISNUMBER(I20)),H20*I20,"")</f>
        <v/>
      </c>
      <c r="K20" s="25" t="str">
        <f aca="false">IF(ISNUMBER(A20),WEEKNUM(A20,2),"")</f>
        <v/>
      </c>
      <c r="L20" s="25" t="str">
        <f aca="false">IF(OR(A20="",C20=""),"",IF(COUNTIFS($A$5:$A$64,A20,$C$5:$C$64,C20,$B$5:$B$64,"&lt;&gt;"&amp;B20)&gt;0,"Same site, same day, another department: consider combining",""))</f>
        <v/>
      </c>
    </row>
    <row r="21" customFormat="false" ht="15" hidden="false" customHeight="true" outlineLevel="0" collapsed="false">
      <c r="A21" s="20"/>
      <c r="B21" s="21"/>
      <c r="C21" s="21"/>
      <c r="D21" s="22"/>
      <c r="E21" s="22"/>
      <c r="F21" s="21"/>
      <c r="G21" s="21"/>
      <c r="H21" s="21"/>
      <c r="I21" s="23"/>
      <c r="J21" s="24" t="str">
        <f aca="false">IF(AND(ISNUMBER(H21),ISNUMBER(I21)),H21*I21,"")</f>
        <v/>
      </c>
      <c r="K21" s="25" t="str">
        <f aca="false">IF(ISNUMBER(A21),WEEKNUM(A21,2),"")</f>
        <v/>
      </c>
      <c r="L21" s="25" t="str">
        <f aca="false">IF(OR(A21="",C21=""),"",IF(COUNTIFS($A$5:$A$64,A21,$C$5:$C$64,C21,$B$5:$B$64,"&lt;&gt;"&amp;B21)&gt;0,"Same site, same day, another department: consider combining",""))</f>
        <v/>
      </c>
    </row>
    <row r="22" customFormat="false" ht="15" hidden="false" customHeight="true" outlineLevel="0" collapsed="false">
      <c r="A22" s="20"/>
      <c r="B22" s="21"/>
      <c r="C22" s="21"/>
      <c r="D22" s="22"/>
      <c r="E22" s="22"/>
      <c r="F22" s="21"/>
      <c r="G22" s="21"/>
      <c r="H22" s="21"/>
      <c r="I22" s="23"/>
      <c r="J22" s="24" t="str">
        <f aca="false">IF(AND(ISNUMBER(H22),ISNUMBER(I22)),H22*I22,"")</f>
        <v/>
      </c>
      <c r="K22" s="25" t="str">
        <f aca="false">IF(ISNUMBER(A22),WEEKNUM(A22,2),"")</f>
        <v/>
      </c>
      <c r="L22" s="25" t="str">
        <f aca="false">IF(OR(A22="",C22=""),"",IF(COUNTIFS($A$5:$A$64,A22,$C$5:$C$64,C22,$B$5:$B$64,"&lt;&gt;"&amp;B22)&gt;0,"Same site, same day, another department: consider combining",""))</f>
        <v/>
      </c>
    </row>
    <row r="23" customFormat="false" ht="15" hidden="false" customHeight="true" outlineLevel="0" collapsed="false">
      <c r="A23" s="20"/>
      <c r="B23" s="21"/>
      <c r="C23" s="21"/>
      <c r="D23" s="22"/>
      <c r="E23" s="22"/>
      <c r="F23" s="21"/>
      <c r="G23" s="21"/>
      <c r="H23" s="21"/>
      <c r="I23" s="23"/>
      <c r="J23" s="24" t="str">
        <f aca="false">IF(AND(ISNUMBER(H23),ISNUMBER(I23)),H23*I23,"")</f>
        <v/>
      </c>
      <c r="K23" s="25" t="str">
        <f aca="false">IF(ISNUMBER(A23),WEEKNUM(A23,2),"")</f>
        <v/>
      </c>
      <c r="L23" s="25" t="str">
        <f aca="false">IF(OR(A23="",C23=""),"",IF(COUNTIFS($A$5:$A$64,A23,$C$5:$C$64,C23,$B$5:$B$64,"&lt;&gt;"&amp;B23)&gt;0,"Same site, same day, another department: consider combining",""))</f>
        <v/>
      </c>
    </row>
    <row r="24" customFormat="false" ht="15" hidden="false" customHeight="true" outlineLevel="0" collapsed="false">
      <c r="A24" s="20"/>
      <c r="B24" s="21"/>
      <c r="C24" s="21"/>
      <c r="D24" s="22"/>
      <c r="E24" s="22"/>
      <c r="F24" s="21"/>
      <c r="G24" s="21"/>
      <c r="H24" s="21"/>
      <c r="I24" s="23"/>
      <c r="J24" s="24" t="str">
        <f aca="false">IF(AND(ISNUMBER(H24),ISNUMBER(I24)),H24*I24,"")</f>
        <v/>
      </c>
      <c r="K24" s="25" t="str">
        <f aca="false">IF(ISNUMBER(A24),WEEKNUM(A24,2),"")</f>
        <v/>
      </c>
      <c r="L24" s="25" t="str">
        <f aca="false">IF(OR(A24="",C24=""),"",IF(COUNTIFS($A$5:$A$64,A24,$C$5:$C$64,C24,$B$5:$B$64,"&lt;&gt;"&amp;B24)&gt;0,"Same site, same day, another department: consider combining",""))</f>
        <v/>
      </c>
    </row>
    <row r="25" customFormat="false" ht="15" hidden="false" customHeight="true" outlineLevel="0" collapsed="false">
      <c r="A25" s="20"/>
      <c r="B25" s="21"/>
      <c r="C25" s="21"/>
      <c r="D25" s="22"/>
      <c r="E25" s="22"/>
      <c r="F25" s="21"/>
      <c r="G25" s="21"/>
      <c r="H25" s="21"/>
      <c r="I25" s="23"/>
      <c r="J25" s="24" t="str">
        <f aca="false">IF(AND(ISNUMBER(H25),ISNUMBER(I25)),H25*I25,"")</f>
        <v/>
      </c>
      <c r="K25" s="25" t="str">
        <f aca="false">IF(ISNUMBER(A25),WEEKNUM(A25,2),"")</f>
        <v/>
      </c>
      <c r="L25" s="25" t="str">
        <f aca="false">IF(OR(A25="",C25=""),"",IF(COUNTIFS($A$5:$A$64,A25,$C$5:$C$64,C25,$B$5:$B$64,"&lt;&gt;"&amp;B25)&gt;0,"Same site, same day, another department: consider combining",""))</f>
        <v/>
      </c>
    </row>
    <row r="26" customFormat="false" ht="15" hidden="false" customHeight="true" outlineLevel="0" collapsed="false">
      <c r="A26" s="20"/>
      <c r="B26" s="21"/>
      <c r="C26" s="21"/>
      <c r="D26" s="22"/>
      <c r="E26" s="22"/>
      <c r="F26" s="21"/>
      <c r="G26" s="21"/>
      <c r="H26" s="21"/>
      <c r="I26" s="23"/>
      <c r="J26" s="24" t="str">
        <f aca="false">IF(AND(ISNUMBER(H26),ISNUMBER(I26)),H26*I26,"")</f>
        <v/>
      </c>
      <c r="K26" s="25" t="str">
        <f aca="false">IF(ISNUMBER(A26),WEEKNUM(A26,2),"")</f>
        <v/>
      </c>
      <c r="L26" s="25" t="str">
        <f aca="false">IF(OR(A26="",C26=""),"",IF(COUNTIFS($A$5:$A$64,A26,$C$5:$C$64,C26,$B$5:$B$64,"&lt;&gt;"&amp;B26)&gt;0,"Same site, same day, another department: consider combining",""))</f>
        <v/>
      </c>
    </row>
    <row r="27" customFormat="false" ht="15" hidden="false" customHeight="true" outlineLevel="0" collapsed="false">
      <c r="A27" s="20"/>
      <c r="B27" s="21"/>
      <c r="C27" s="21"/>
      <c r="D27" s="22"/>
      <c r="E27" s="22"/>
      <c r="F27" s="21"/>
      <c r="G27" s="21"/>
      <c r="H27" s="21"/>
      <c r="I27" s="23"/>
      <c r="J27" s="24" t="str">
        <f aca="false">IF(AND(ISNUMBER(H27),ISNUMBER(I27)),H27*I27,"")</f>
        <v/>
      </c>
      <c r="K27" s="25" t="str">
        <f aca="false">IF(ISNUMBER(A27),WEEKNUM(A27,2),"")</f>
        <v/>
      </c>
      <c r="L27" s="25" t="str">
        <f aca="false">IF(OR(A27="",C27=""),"",IF(COUNTIFS($A$5:$A$64,A27,$C$5:$C$64,C27,$B$5:$B$64,"&lt;&gt;"&amp;B27)&gt;0,"Same site, same day, another department: consider combining",""))</f>
        <v/>
      </c>
    </row>
    <row r="28" customFormat="false" ht="15" hidden="false" customHeight="true" outlineLevel="0" collapsed="false">
      <c r="A28" s="20"/>
      <c r="B28" s="21"/>
      <c r="C28" s="21"/>
      <c r="D28" s="22"/>
      <c r="E28" s="22"/>
      <c r="F28" s="21"/>
      <c r="G28" s="21"/>
      <c r="H28" s="21"/>
      <c r="I28" s="23"/>
      <c r="J28" s="24" t="str">
        <f aca="false">IF(AND(ISNUMBER(H28),ISNUMBER(I28)),H28*I28,"")</f>
        <v/>
      </c>
      <c r="K28" s="25" t="str">
        <f aca="false">IF(ISNUMBER(A28),WEEKNUM(A28,2),"")</f>
        <v/>
      </c>
      <c r="L28" s="25" t="str">
        <f aca="false">IF(OR(A28="",C28=""),"",IF(COUNTIFS($A$5:$A$64,A28,$C$5:$C$64,C28,$B$5:$B$64,"&lt;&gt;"&amp;B28)&gt;0,"Same site, same day, another department: consider combining",""))</f>
        <v/>
      </c>
    </row>
    <row r="29" customFormat="false" ht="15" hidden="false" customHeight="true" outlineLevel="0" collapsed="false">
      <c r="A29" s="20"/>
      <c r="B29" s="21"/>
      <c r="C29" s="21"/>
      <c r="D29" s="22"/>
      <c r="E29" s="22"/>
      <c r="F29" s="21"/>
      <c r="G29" s="21"/>
      <c r="H29" s="21"/>
      <c r="I29" s="23"/>
      <c r="J29" s="24" t="str">
        <f aca="false">IF(AND(ISNUMBER(H29),ISNUMBER(I29)),H29*I29,"")</f>
        <v/>
      </c>
      <c r="K29" s="25" t="str">
        <f aca="false">IF(ISNUMBER(A29),WEEKNUM(A29,2),"")</f>
        <v/>
      </c>
      <c r="L29" s="25" t="str">
        <f aca="false">IF(OR(A29="",C29=""),"",IF(COUNTIFS($A$5:$A$64,A29,$C$5:$C$64,C29,$B$5:$B$64,"&lt;&gt;"&amp;B29)&gt;0,"Same site, same day, another department: consider combining",""))</f>
        <v/>
      </c>
    </row>
    <row r="30" customFormat="false" ht="15" hidden="false" customHeight="true" outlineLevel="0" collapsed="false">
      <c r="A30" s="20"/>
      <c r="B30" s="21"/>
      <c r="C30" s="21"/>
      <c r="D30" s="22"/>
      <c r="E30" s="22"/>
      <c r="F30" s="21"/>
      <c r="G30" s="21"/>
      <c r="H30" s="21"/>
      <c r="I30" s="23"/>
      <c r="J30" s="24" t="str">
        <f aca="false">IF(AND(ISNUMBER(H30),ISNUMBER(I30)),H30*I30,"")</f>
        <v/>
      </c>
      <c r="K30" s="25" t="str">
        <f aca="false">IF(ISNUMBER(A30),WEEKNUM(A30,2),"")</f>
        <v/>
      </c>
      <c r="L30" s="25" t="str">
        <f aca="false">IF(OR(A30="",C30=""),"",IF(COUNTIFS($A$5:$A$64,A30,$C$5:$C$64,C30,$B$5:$B$64,"&lt;&gt;"&amp;B30)&gt;0,"Same site, same day, another department: consider combining",""))</f>
        <v/>
      </c>
    </row>
    <row r="31" customFormat="false" ht="15" hidden="false" customHeight="true" outlineLevel="0" collapsed="false">
      <c r="A31" s="20"/>
      <c r="B31" s="21"/>
      <c r="C31" s="21"/>
      <c r="D31" s="22"/>
      <c r="E31" s="22"/>
      <c r="F31" s="21"/>
      <c r="G31" s="21"/>
      <c r="H31" s="21"/>
      <c r="I31" s="23"/>
      <c r="J31" s="24" t="str">
        <f aca="false">IF(AND(ISNUMBER(H31),ISNUMBER(I31)),H31*I31,"")</f>
        <v/>
      </c>
      <c r="K31" s="25" t="str">
        <f aca="false">IF(ISNUMBER(A31),WEEKNUM(A31,2),"")</f>
        <v/>
      </c>
      <c r="L31" s="25" t="str">
        <f aca="false">IF(OR(A31="",C31=""),"",IF(COUNTIFS($A$5:$A$64,A31,$C$5:$C$64,C31,$B$5:$B$64,"&lt;&gt;"&amp;B31)&gt;0,"Same site, same day, another department: consider combining",""))</f>
        <v/>
      </c>
    </row>
    <row r="32" customFormat="false" ht="15" hidden="false" customHeight="true" outlineLevel="0" collapsed="false">
      <c r="A32" s="20"/>
      <c r="B32" s="21"/>
      <c r="C32" s="21"/>
      <c r="D32" s="22"/>
      <c r="E32" s="22"/>
      <c r="F32" s="21"/>
      <c r="G32" s="21"/>
      <c r="H32" s="21"/>
      <c r="I32" s="23"/>
      <c r="J32" s="24" t="str">
        <f aca="false">IF(AND(ISNUMBER(H32),ISNUMBER(I32)),H32*I32,"")</f>
        <v/>
      </c>
      <c r="K32" s="25" t="str">
        <f aca="false">IF(ISNUMBER(A32),WEEKNUM(A32,2),"")</f>
        <v/>
      </c>
      <c r="L32" s="25" t="str">
        <f aca="false">IF(OR(A32="",C32=""),"",IF(COUNTIFS($A$5:$A$64,A32,$C$5:$C$64,C32,$B$5:$B$64,"&lt;&gt;"&amp;B32)&gt;0,"Same site, same day, another department: consider combining",""))</f>
        <v/>
      </c>
    </row>
    <row r="33" customFormat="false" ht="15" hidden="false" customHeight="true" outlineLevel="0" collapsed="false">
      <c r="A33" s="20"/>
      <c r="B33" s="21"/>
      <c r="C33" s="21"/>
      <c r="D33" s="22"/>
      <c r="E33" s="22"/>
      <c r="F33" s="21"/>
      <c r="G33" s="21"/>
      <c r="H33" s="21"/>
      <c r="I33" s="23"/>
      <c r="J33" s="24" t="str">
        <f aca="false">IF(AND(ISNUMBER(H33),ISNUMBER(I33)),H33*I33,"")</f>
        <v/>
      </c>
      <c r="K33" s="25" t="str">
        <f aca="false">IF(ISNUMBER(A33),WEEKNUM(A33,2),"")</f>
        <v/>
      </c>
      <c r="L33" s="25" t="str">
        <f aca="false">IF(OR(A33="",C33=""),"",IF(COUNTIFS($A$5:$A$64,A33,$C$5:$C$64,C33,$B$5:$B$64,"&lt;&gt;"&amp;B33)&gt;0,"Same site, same day, another department: consider combining",""))</f>
        <v/>
      </c>
    </row>
    <row r="34" customFormat="false" ht="15" hidden="false" customHeight="true" outlineLevel="0" collapsed="false">
      <c r="A34" s="20"/>
      <c r="B34" s="21"/>
      <c r="C34" s="21"/>
      <c r="D34" s="22"/>
      <c r="E34" s="22"/>
      <c r="F34" s="21"/>
      <c r="G34" s="21"/>
      <c r="H34" s="21"/>
      <c r="I34" s="23"/>
      <c r="J34" s="24" t="str">
        <f aca="false">IF(AND(ISNUMBER(H34),ISNUMBER(I34)),H34*I34,"")</f>
        <v/>
      </c>
      <c r="K34" s="25" t="str">
        <f aca="false">IF(ISNUMBER(A34),WEEKNUM(A34,2),"")</f>
        <v/>
      </c>
      <c r="L34" s="25" t="str">
        <f aca="false">IF(OR(A34="",C34=""),"",IF(COUNTIFS($A$5:$A$64,A34,$C$5:$C$64,C34,$B$5:$B$64,"&lt;&gt;"&amp;B34)&gt;0,"Same site, same day, another department: consider combining",""))</f>
        <v/>
      </c>
    </row>
    <row r="35" customFormat="false" ht="15" hidden="false" customHeight="true" outlineLevel="0" collapsed="false">
      <c r="A35" s="20"/>
      <c r="B35" s="21"/>
      <c r="C35" s="21"/>
      <c r="D35" s="22"/>
      <c r="E35" s="22"/>
      <c r="F35" s="21"/>
      <c r="G35" s="21"/>
      <c r="H35" s="21"/>
      <c r="I35" s="23"/>
      <c r="J35" s="24" t="str">
        <f aca="false">IF(AND(ISNUMBER(H35),ISNUMBER(I35)),H35*I35,"")</f>
        <v/>
      </c>
      <c r="K35" s="25" t="str">
        <f aca="false">IF(ISNUMBER(A35),WEEKNUM(A35,2),"")</f>
        <v/>
      </c>
      <c r="L35" s="25" t="str">
        <f aca="false">IF(OR(A35="",C35=""),"",IF(COUNTIFS($A$5:$A$64,A35,$C$5:$C$64,C35,$B$5:$B$64,"&lt;&gt;"&amp;B35)&gt;0,"Same site, same day, another department: consider combining",""))</f>
        <v/>
      </c>
    </row>
    <row r="36" customFormat="false" ht="15" hidden="false" customHeight="true" outlineLevel="0" collapsed="false">
      <c r="A36" s="20"/>
      <c r="B36" s="21"/>
      <c r="C36" s="21"/>
      <c r="D36" s="22"/>
      <c r="E36" s="22"/>
      <c r="F36" s="21"/>
      <c r="G36" s="21"/>
      <c r="H36" s="21"/>
      <c r="I36" s="23"/>
      <c r="J36" s="24" t="str">
        <f aca="false">IF(AND(ISNUMBER(H36),ISNUMBER(I36)),H36*I36,"")</f>
        <v/>
      </c>
      <c r="K36" s="25" t="str">
        <f aca="false">IF(ISNUMBER(A36),WEEKNUM(A36,2),"")</f>
        <v/>
      </c>
      <c r="L36" s="25" t="str">
        <f aca="false">IF(OR(A36="",C36=""),"",IF(COUNTIFS($A$5:$A$64,A36,$C$5:$C$64,C36,$B$5:$B$64,"&lt;&gt;"&amp;B36)&gt;0,"Same site, same day, another department: consider combining",""))</f>
        <v/>
      </c>
    </row>
    <row r="37" customFormat="false" ht="15" hidden="false" customHeight="true" outlineLevel="0" collapsed="false">
      <c r="A37" s="20"/>
      <c r="B37" s="21"/>
      <c r="C37" s="21"/>
      <c r="D37" s="22"/>
      <c r="E37" s="22"/>
      <c r="F37" s="21"/>
      <c r="G37" s="21"/>
      <c r="H37" s="21"/>
      <c r="I37" s="23"/>
      <c r="J37" s="24" t="str">
        <f aca="false">IF(AND(ISNUMBER(H37),ISNUMBER(I37)),H37*I37,"")</f>
        <v/>
      </c>
      <c r="K37" s="25" t="str">
        <f aca="false">IF(ISNUMBER(A37),WEEKNUM(A37,2),"")</f>
        <v/>
      </c>
      <c r="L37" s="25" t="str">
        <f aca="false">IF(OR(A37="",C37=""),"",IF(COUNTIFS($A$5:$A$64,A37,$C$5:$C$64,C37,$B$5:$B$64,"&lt;&gt;"&amp;B37)&gt;0,"Same site, same day, another department: consider combining",""))</f>
        <v/>
      </c>
    </row>
    <row r="38" customFormat="false" ht="15" hidden="false" customHeight="true" outlineLevel="0" collapsed="false">
      <c r="A38" s="20"/>
      <c r="B38" s="21"/>
      <c r="C38" s="21"/>
      <c r="D38" s="22"/>
      <c r="E38" s="22"/>
      <c r="F38" s="21"/>
      <c r="G38" s="21"/>
      <c r="H38" s="21"/>
      <c r="I38" s="23"/>
      <c r="J38" s="24" t="str">
        <f aca="false">IF(AND(ISNUMBER(H38),ISNUMBER(I38)),H38*I38,"")</f>
        <v/>
      </c>
      <c r="K38" s="25" t="str">
        <f aca="false">IF(ISNUMBER(A38),WEEKNUM(A38,2),"")</f>
        <v/>
      </c>
      <c r="L38" s="25" t="str">
        <f aca="false">IF(OR(A38="",C38=""),"",IF(COUNTIFS($A$5:$A$64,A38,$C$5:$C$64,C38,$B$5:$B$64,"&lt;&gt;"&amp;B38)&gt;0,"Same site, same day, another department: consider combining",""))</f>
        <v/>
      </c>
    </row>
    <row r="39" customFormat="false" ht="15" hidden="false" customHeight="true" outlineLevel="0" collapsed="false">
      <c r="A39" s="20"/>
      <c r="B39" s="21"/>
      <c r="C39" s="21"/>
      <c r="D39" s="22"/>
      <c r="E39" s="22"/>
      <c r="F39" s="21"/>
      <c r="G39" s="21"/>
      <c r="H39" s="21"/>
      <c r="I39" s="23"/>
      <c r="J39" s="24" t="str">
        <f aca="false">IF(AND(ISNUMBER(H39),ISNUMBER(I39)),H39*I39,"")</f>
        <v/>
      </c>
      <c r="K39" s="25" t="str">
        <f aca="false">IF(ISNUMBER(A39),WEEKNUM(A39,2),"")</f>
        <v/>
      </c>
      <c r="L39" s="25" t="str">
        <f aca="false">IF(OR(A39="",C39=""),"",IF(COUNTIFS($A$5:$A$64,A39,$C$5:$C$64,C39,$B$5:$B$64,"&lt;&gt;"&amp;B39)&gt;0,"Same site, same day, another department: consider combining",""))</f>
        <v/>
      </c>
    </row>
    <row r="40" customFormat="false" ht="15" hidden="false" customHeight="true" outlineLevel="0" collapsed="false">
      <c r="A40" s="20"/>
      <c r="B40" s="21"/>
      <c r="C40" s="21"/>
      <c r="D40" s="22"/>
      <c r="E40" s="22"/>
      <c r="F40" s="21"/>
      <c r="G40" s="21"/>
      <c r="H40" s="21"/>
      <c r="I40" s="23"/>
      <c r="J40" s="24" t="str">
        <f aca="false">IF(AND(ISNUMBER(H40),ISNUMBER(I40)),H40*I40,"")</f>
        <v/>
      </c>
      <c r="K40" s="25" t="str">
        <f aca="false">IF(ISNUMBER(A40),WEEKNUM(A40,2),"")</f>
        <v/>
      </c>
      <c r="L40" s="25" t="str">
        <f aca="false">IF(OR(A40="",C40=""),"",IF(COUNTIFS($A$5:$A$64,A40,$C$5:$C$64,C40,$B$5:$B$64,"&lt;&gt;"&amp;B40)&gt;0,"Same site, same day, another department: consider combining",""))</f>
        <v/>
      </c>
    </row>
    <row r="41" customFormat="false" ht="15" hidden="false" customHeight="true" outlineLevel="0" collapsed="false">
      <c r="A41" s="20"/>
      <c r="B41" s="21"/>
      <c r="C41" s="21"/>
      <c r="D41" s="22"/>
      <c r="E41" s="22"/>
      <c r="F41" s="21"/>
      <c r="G41" s="21"/>
      <c r="H41" s="21"/>
      <c r="I41" s="23"/>
      <c r="J41" s="24" t="str">
        <f aca="false">IF(AND(ISNUMBER(H41),ISNUMBER(I41)),H41*I41,"")</f>
        <v/>
      </c>
      <c r="K41" s="25" t="str">
        <f aca="false">IF(ISNUMBER(A41),WEEKNUM(A41,2),"")</f>
        <v/>
      </c>
      <c r="L41" s="25" t="str">
        <f aca="false">IF(OR(A41="",C41=""),"",IF(COUNTIFS($A$5:$A$64,A41,$C$5:$C$64,C41,$B$5:$B$64,"&lt;&gt;"&amp;B41)&gt;0,"Same site, same day, another department: consider combining",""))</f>
        <v/>
      </c>
    </row>
    <row r="42" customFormat="false" ht="15" hidden="false" customHeight="true" outlineLevel="0" collapsed="false">
      <c r="A42" s="20"/>
      <c r="B42" s="21"/>
      <c r="C42" s="21"/>
      <c r="D42" s="22"/>
      <c r="E42" s="22"/>
      <c r="F42" s="21"/>
      <c r="G42" s="21"/>
      <c r="H42" s="21"/>
      <c r="I42" s="23"/>
      <c r="J42" s="24" t="str">
        <f aca="false">IF(AND(ISNUMBER(H42),ISNUMBER(I42)),H42*I42,"")</f>
        <v/>
      </c>
      <c r="K42" s="25" t="str">
        <f aca="false">IF(ISNUMBER(A42),WEEKNUM(A42,2),"")</f>
        <v/>
      </c>
      <c r="L42" s="25" t="str">
        <f aca="false">IF(OR(A42="",C42=""),"",IF(COUNTIFS($A$5:$A$64,A42,$C$5:$C$64,C42,$B$5:$B$64,"&lt;&gt;"&amp;B42)&gt;0,"Same site, same day, another department: consider combining",""))</f>
        <v/>
      </c>
    </row>
    <row r="43" customFormat="false" ht="15" hidden="false" customHeight="true" outlineLevel="0" collapsed="false">
      <c r="A43" s="20"/>
      <c r="B43" s="21"/>
      <c r="C43" s="21"/>
      <c r="D43" s="22"/>
      <c r="E43" s="22"/>
      <c r="F43" s="21"/>
      <c r="G43" s="21"/>
      <c r="H43" s="21"/>
      <c r="I43" s="23"/>
      <c r="J43" s="24" t="str">
        <f aca="false">IF(AND(ISNUMBER(H43),ISNUMBER(I43)),H43*I43,"")</f>
        <v/>
      </c>
      <c r="K43" s="25" t="str">
        <f aca="false">IF(ISNUMBER(A43),WEEKNUM(A43,2),"")</f>
        <v/>
      </c>
      <c r="L43" s="25" t="str">
        <f aca="false">IF(OR(A43="",C43=""),"",IF(COUNTIFS($A$5:$A$64,A43,$C$5:$C$64,C43,$B$5:$B$64,"&lt;&gt;"&amp;B43)&gt;0,"Same site, same day, another department: consider combining",""))</f>
        <v/>
      </c>
    </row>
    <row r="44" customFormat="false" ht="15" hidden="false" customHeight="true" outlineLevel="0" collapsed="false">
      <c r="A44" s="20"/>
      <c r="B44" s="21"/>
      <c r="C44" s="21"/>
      <c r="D44" s="22"/>
      <c r="E44" s="22"/>
      <c r="F44" s="21"/>
      <c r="G44" s="21"/>
      <c r="H44" s="21"/>
      <c r="I44" s="23"/>
      <c r="J44" s="24" t="str">
        <f aca="false">IF(AND(ISNUMBER(H44),ISNUMBER(I44)),H44*I44,"")</f>
        <v/>
      </c>
      <c r="K44" s="25" t="str">
        <f aca="false">IF(ISNUMBER(A44),WEEKNUM(A44,2),"")</f>
        <v/>
      </c>
      <c r="L44" s="25" t="str">
        <f aca="false">IF(OR(A44="",C44=""),"",IF(COUNTIFS($A$5:$A$64,A44,$C$5:$C$64,C44,$B$5:$B$64,"&lt;&gt;"&amp;B44)&gt;0,"Same site, same day, another department: consider combining",""))</f>
        <v/>
      </c>
    </row>
    <row r="45" customFormat="false" ht="15" hidden="false" customHeight="true" outlineLevel="0" collapsed="false">
      <c r="A45" s="20"/>
      <c r="B45" s="21"/>
      <c r="C45" s="21"/>
      <c r="D45" s="22"/>
      <c r="E45" s="22"/>
      <c r="F45" s="21"/>
      <c r="G45" s="21"/>
      <c r="H45" s="21"/>
      <c r="I45" s="23"/>
      <c r="J45" s="24" t="str">
        <f aca="false">IF(AND(ISNUMBER(H45),ISNUMBER(I45)),H45*I45,"")</f>
        <v/>
      </c>
      <c r="K45" s="25" t="str">
        <f aca="false">IF(ISNUMBER(A45),WEEKNUM(A45,2),"")</f>
        <v/>
      </c>
      <c r="L45" s="25" t="str">
        <f aca="false">IF(OR(A45="",C45=""),"",IF(COUNTIFS($A$5:$A$64,A45,$C$5:$C$64,C45,$B$5:$B$64,"&lt;&gt;"&amp;B45)&gt;0,"Same site, same day, another department: consider combining",""))</f>
        <v/>
      </c>
    </row>
    <row r="46" customFormat="false" ht="15" hidden="false" customHeight="true" outlineLevel="0" collapsed="false">
      <c r="A46" s="20"/>
      <c r="B46" s="21"/>
      <c r="C46" s="21"/>
      <c r="D46" s="22"/>
      <c r="E46" s="22"/>
      <c r="F46" s="21"/>
      <c r="G46" s="21"/>
      <c r="H46" s="21"/>
      <c r="I46" s="23"/>
      <c r="J46" s="24" t="str">
        <f aca="false">IF(AND(ISNUMBER(H46),ISNUMBER(I46)),H46*I46,"")</f>
        <v/>
      </c>
      <c r="K46" s="25" t="str">
        <f aca="false">IF(ISNUMBER(A46),WEEKNUM(A46,2),"")</f>
        <v/>
      </c>
      <c r="L46" s="25" t="str">
        <f aca="false">IF(OR(A46="",C46=""),"",IF(COUNTIFS($A$5:$A$64,A46,$C$5:$C$64,C46,$B$5:$B$64,"&lt;&gt;"&amp;B46)&gt;0,"Same site, same day, another department: consider combining",""))</f>
        <v/>
      </c>
    </row>
    <row r="47" customFormat="false" ht="15" hidden="false" customHeight="true" outlineLevel="0" collapsed="false">
      <c r="A47" s="20"/>
      <c r="B47" s="21"/>
      <c r="C47" s="21"/>
      <c r="D47" s="22"/>
      <c r="E47" s="22"/>
      <c r="F47" s="21"/>
      <c r="G47" s="21"/>
      <c r="H47" s="21"/>
      <c r="I47" s="23"/>
      <c r="J47" s="24" t="str">
        <f aca="false">IF(AND(ISNUMBER(H47),ISNUMBER(I47)),H47*I47,"")</f>
        <v/>
      </c>
      <c r="K47" s="25" t="str">
        <f aca="false">IF(ISNUMBER(A47),WEEKNUM(A47,2),"")</f>
        <v/>
      </c>
      <c r="L47" s="25" t="str">
        <f aca="false">IF(OR(A47="",C47=""),"",IF(COUNTIFS($A$5:$A$64,A47,$C$5:$C$64,C47,$B$5:$B$64,"&lt;&gt;"&amp;B47)&gt;0,"Same site, same day, another department: consider combining",""))</f>
        <v/>
      </c>
    </row>
    <row r="48" customFormat="false" ht="15" hidden="false" customHeight="true" outlineLevel="0" collapsed="false">
      <c r="A48" s="20"/>
      <c r="B48" s="21"/>
      <c r="C48" s="21"/>
      <c r="D48" s="22"/>
      <c r="E48" s="22"/>
      <c r="F48" s="21"/>
      <c r="G48" s="21"/>
      <c r="H48" s="21"/>
      <c r="I48" s="23"/>
      <c r="J48" s="24" t="str">
        <f aca="false">IF(AND(ISNUMBER(H48),ISNUMBER(I48)),H48*I48,"")</f>
        <v/>
      </c>
      <c r="K48" s="25" t="str">
        <f aca="false">IF(ISNUMBER(A48),WEEKNUM(A48,2),"")</f>
        <v/>
      </c>
      <c r="L48" s="25" t="str">
        <f aca="false">IF(OR(A48="",C48=""),"",IF(COUNTIFS($A$5:$A$64,A48,$C$5:$C$64,C48,$B$5:$B$64,"&lt;&gt;"&amp;B48)&gt;0,"Same site, same day, another department: consider combining",""))</f>
        <v/>
      </c>
    </row>
    <row r="49" customFormat="false" ht="15" hidden="false" customHeight="true" outlineLevel="0" collapsed="false">
      <c r="A49" s="20"/>
      <c r="B49" s="21"/>
      <c r="C49" s="21"/>
      <c r="D49" s="22"/>
      <c r="E49" s="22"/>
      <c r="F49" s="21"/>
      <c r="G49" s="21"/>
      <c r="H49" s="21"/>
      <c r="I49" s="23"/>
      <c r="J49" s="24" t="str">
        <f aca="false">IF(AND(ISNUMBER(H49),ISNUMBER(I49)),H49*I49,"")</f>
        <v/>
      </c>
      <c r="K49" s="25" t="str">
        <f aca="false">IF(ISNUMBER(A49),WEEKNUM(A49,2),"")</f>
        <v/>
      </c>
      <c r="L49" s="25" t="str">
        <f aca="false">IF(OR(A49="",C49=""),"",IF(COUNTIFS($A$5:$A$64,A49,$C$5:$C$64,C49,$B$5:$B$64,"&lt;&gt;"&amp;B49)&gt;0,"Same site, same day, another department: consider combining",""))</f>
        <v/>
      </c>
    </row>
    <row r="50" customFormat="false" ht="15" hidden="false" customHeight="true" outlineLevel="0" collapsed="false">
      <c r="A50" s="20"/>
      <c r="B50" s="21"/>
      <c r="C50" s="21"/>
      <c r="D50" s="22"/>
      <c r="E50" s="22"/>
      <c r="F50" s="21"/>
      <c r="G50" s="21"/>
      <c r="H50" s="21"/>
      <c r="I50" s="23"/>
      <c r="J50" s="24" t="str">
        <f aca="false">IF(AND(ISNUMBER(H50),ISNUMBER(I50)),H50*I50,"")</f>
        <v/>
      </c>
      <c r="K50" s="25" t="str">
        <f aca="false">IF(ISNUMBER(A50),WEEKNUM(A50,2),"")</f>
        <v/>
      </c>
      <c r="L50" s="25" t="str">
        <f aca="false">IF(OR(A50="",C50=""),"",IF(COUNTIFS($A$5:$A$64,A50,$C$5:$C$64,C50,$B$5:$B$64,"&lt;&gt;"&amp;B50)&gt;0,"Same site, same day, another department: consider combining",""))</f>
        <v/>
      </c>
    </row>
    <row r="51" customFormat="false" ht="15" hidden="false" customHeight="true" outlineLevel="0" collapsed="false">
      <c r="A51" s="20"/>
      <c r="B51" s="21"/>
      <c r="C51" s="21"/>
      <c r="D51" s="22"/>
      <c r="E51" s="22"/>
      <c r="F51" s="21"/>
      <c r="G51" s="21"/>
      <c r="H51" s="21"/>
      <c r="I51" s="23"/>
      <c r="J51" s="24" t="str">
        <f aca="false">IF(AND(ISNUMBER(H51),ISNUMBER(I51)),H51*I51,"")</f>
        <v/>
      </c>
      <c r="K51" s="25" t="str">
        <f aca="false">IF(ISNUMBER(A51),WEEKNUM(A51,2),"")</f>
        <v/>
      </c>
      <c r="L51" s="25" t="str">
        <f aca="false">IF(OR(A51="",C51=""),"",IF(COUNTIFS($A$5:$A$64,A51,$C$5:$C$64,C51,$B$5:$B$64,"&lt;&gt;"&amp;B51)&gt;0,"Same site, same day, another department: consider combining",""))</f>
        <v/>
      </c>
    </row>
    <row r="52" customFormat="false" ht="15" hidden="false" customHeight="true" outlineLevel="0" collapsed="false">
      <c r="A52" s="20"/>
      <c r="B52" s="21"/>
      <c r="C52" s="21"/>
      <c r="D52" s="22"/>
      <c r="E52" s="22"/>
      <c r="F52" s="21"/>
      <c r="G52" s="21"/>
      <c r="H52" s="21"/>
      <c r="I52" s="23"/>
      <c r="J52" s="24" t="str">
        <f aca="false">IF(AND(ISNUMBER(H52),ISNUMBER(I52)),H52*I52,"")</f>
        <v/>
      </c>
      <c r="K52" s="25" t="str">
        <f aca="false">IF(ISNUMBER(A52),WEEKNUM(A52,2),"")</f>
        <v/>
      </c>
      <c r="L52" s="25" t="str">
        <f aca="false">IF(OR(A52="",C52=""),"",IF(COUNTIFS($A$5:$A$64,A52,$C$5:$C$64,C52,$B$5:$B$64,"&lt;&gt;"&amp;B52)&gt;0,"Same site, same day, another department: consider combining",""))</f>
        <v/>
      </c>
    </row>
    <row r="53" customFormat="false" ht="15" hidden="false" customHeight="true" outlineLevel="0" collapsed="false">
      <c r="A53" s="20"/>
      <c r="B53" s="21"/>
      <c r="C53" s="21"/>
      <c r="D53" s="22"/>
      <c r="E53" s="22"/>
      <c r="F53" s="21"/>
      <c r="G53" s="21"/>
      <c r="H53" s="21"/>
      <c r="I53" s="23"/>
      <c r="J53" s="24" t="str">
        <f aca="false">IF(AND(ISNUMBER(H53),ISNUMBER(I53)),H53*I53,"")</f>
        <v/>
      </c>
      <c r="K53" s="25" t="str">
        <f aca="false">IF(ISNUMBER(A53),WEEKNUM(A53,2),"")</f>
        <v/>
      </c>
      <c r="L53" s="25" t="str">
        <f aca="false">IF(OR(A53="",C53=""),"",IF(COUNTIFS($A$5:$A$64,A53,$C$5:$C$64,C53,$B$5:$B$64,"&lt;&gt;"&amp;B53)&gt;0,"Same site, same day, another department: consider combining",""))</f>
        <v/>
      </c>
    </row>
    <row r="54" customFormat="false" ht="15" hidden="false" customHeight="true" outlineLevel="0" collapsed="false">
      <c r="A54" s="20"/>
      <c r="B54" s="21"/>
      <c r="C54" s="21"/>
      <c r="D54" s="22"/>
      <c r="E54" s="22"/>
      <c r="F54" s="21"/>
      <c r="G54" s="21"/>
      <c r="H54" s="21"/>
      <c r="I54" s="23"/>
      <c r="J54" s="24" t="str">
        <f aca="false">IF(AND(ISNUMBER(H54),ISNUMBER(I54)),H54*I54,"")</f>
        <v/>
      </c>
      <c r="K54" s="25" t="str">
        <f aca="false">IF(ISNUMBER(A54),WEEKNUM(A54,2),"")</f>
        <v/>
      </c>
      <c r="L54" s="25" t="str">
        <f aca="false">IF(OR(A54="",C54=""),"",IF(COUNTIFS($A$5:$A$64,A54,$C$5:$C$64,C54,$B$5:$B$64,"&lt;&gt;"&amp;B54)&gt;0,"Same site, same day, another department: consider combining",""))</f>
        <v/>
      </c>
    </row>
    <row r="55" customFormat="false" ht="15" hidden="false" customHeight="true" outlineLevel="0" collapsed="false">
      <c r="A55" s="20"/>
      <c r="B55" s="21"/>
      <c r="C55" s="21"/>
      <c r="D55" s="22"/>
      <c r="E55" s="22"/>
      <c r="F55" s="21"/>
      <c r="G55" s="21"/>
      <c r="H55" s="21"/>
      <c r="I55" s="23"/>
      <c r="J55" s="24" t="str">
        <f aca="false">IF(AND(ISNUMBER(H55),ISNUMBER(I55)),H55*I55,"")</f>
        <v/>
      </c>
      <c r="K55" s="25" t="str">
        <f aca="false">IF(ISNUMBER(A55),WEEKNUM(A55,2),"")</f>
        <v/>
      </c>
      <c r="L55" s="25" t="str">
        <f aca="false">IF(OR(A55="",C55=""),"",IF(COUNTIFS($A$5:$A$64,A55,$C$5:$C$64,C55,$B$5:$B$64,"&lt;&gt;"&amp;B55)&gt;0,"Same site, same day, another department: consider combining",""))</f>
        <v/>
      </c>
    </row>
    <row r="56" customFormat="false" ht="15" hidden="false" customHeight="true" outlineLevel="0" collapsed="false">
      <c r="A56" s="20"/>
      <c r="B56" s="21"/>
      <c r="C56" s="21"/>
      <c r="D56" s="22"/>
      <c r="E56" s="22"/>
      <c r="F56" s="21"/>
      <c r="G56" s="21"/>
      <c r="H56" s="21"/>
      <c r="I56" s="23"/>
      <c r="J56" s="24" t="str">
        <f aca="false">IF(AND(ISNUMBER(H56),ISNUMBER(I56)),H56*I56,"")</f>
        <v/>
      </c>
      <c r="K56" s="25" t="str">
        <f aca="false">IF(ISNUMBER(A56),WEEKNUM(A56,2),"")</f>
        <v/>
      </c>
      <c r="L56" s="25" t="str">
        <f aca="false">IF(OR(A56="",C56=""),"",IF(COUNTIFS($A$5:$A$64,A56,$C$5:$C$64,C56,$B$5:$B$64,"&lt;&gt;"&amp;B56)&gt;0,"Same site, same day, another department: consider combining",""))</f>
        <v/>
      </c>
    </row>
    <row r="57" customFormat="false" ht="15" hidden="false" customHeight="true" outlineLevel="0" collapsed="false">
      <c r="A57" s="20"/>
      <c r="B57" s="21"/>
      <c r="C57" s="21"/>
      <c r="D57" s="22"/>
      <c r="E57" s="22"/>
      <c r="F57" s="21"/>
      <c r="G57" s="21"/>
      <c r="H57" s="21"/>
      <c r="I57" s="23"/>
      <c r="J57" s="24" t="str">
        <f aca="false">IF(AND(ISNUMBER(H57),ISNUMBER(I57)),H57*I57,"")</f>
        <v/>
      </c>
      <c r="K57" s="25" t="str">
        <f aca="false">IF(ISNUMBER(A57),WEEKNUM(A57,2),"")</f>
        <v/>
      </c>
      <c r="L57" s="25" t="str">
        <f aca="false">IF(OR(A57="",C57=""),"",IF(COUNTIFS($A$5:$A$64,A57,$C$5:$C$64,C57,$B$5:$B$64,"&lt;&gt;"&amp;B57)&gt;0,"Same site, same day, another department: consider combining",""))</f>
        <v/>
      </c>
    </row>
    <row r="58" customFormat="false" ht="15" hidden="false" customHeight="true" outlineLevel="0" collapsed="false">
      <c r="A58" s="20"/>
      <c r="B58" s="21"/>
      <c r="C58" s="21"/>
      <c r="D58" s="22"/>
      <c r="E58" s="22"/>
      <c r="F58" s="21"/>
      <c r="G58" s="21"/>
      <c r="H58" s="21"/>
      <c r="I58" s="23"/>
      <c r="J58" s="24" t="str">
        <f aca="false">IF(AND(ISNUMBER(H58),ISNUMBER(I58)),H58*I58,"")</f>
        <v/>
      </c>
      <c r="K58" s="25" t="str">
        <f aca="false">IF(ISNUMBER(A58),WEEKNUM(A58,2),"")</f>
        <v/>
      </c>
      <c r="L58" s="25" t="str">
        <f aca="false">IF(OR(A58="",C58=""),"",IF(COUNTIFS($A$5:$A$64,A58,$C$5:$C$64,C58,$B$5:$B$64,"&lt;&gt;"&amp;B58)&gt;0,"Same site, same day, another department: consider combining",""))</f>
        <v/>
      </c>
    </row>
    <row r="59" customFormat="false" ht="15" hidden="false" customHeight="true" outlineLevel="0" collapsed="false">
      <c r="A59" s="20"/>
      <c r="B59" s="21"/>
      <c r="C59" s="21"/>
      <c r="D59" s="22"/>
      <c r="E59" s="22"/>
      <c r="F59" s="21"/>
      <c r="G59" s="21"/>
      <c r="H59" s="21"/>
      <c r="I59" s="23"/>
      <c r="J59" s="24" t="str">
        <f aca="false">IF(AND(ISNUMBER(H59),ISNUMBER(I59)),H59*I59,"")</f>
        <v/>
      </c>
      <c r="K59" s="25" t="str">
        <f aca="false">IF(ISNUMBER(A59),WEEKNUM(A59,2),"")</f>
        <v/>
      </c>
      <c r="L59" s="25" t="str">
        <f aca="false">IF(OR(A59="",C59=""),"",IF(COUNTIFS($A$5:$A$64,A59,$C$5:$C$64,C59,$B$5:$B$64,"&lt;&gt;"&amp;B59)&gt;0,"Same site, same day, another department: consider combining",""))</f>
        <v/>
      </c>
    </row>
    <row r="60" customFormat="false" ht="15" hidden="false" customHeight="true" outlineLevel="0" collapsed="false">
      <c r="A60" s="20"/>
      <c r="B60" s="21"/>
      <c r="C60" s="21"/>
      <c r="D60" s="22"/>
      <c r="E60" s="22"/>
      <c r="F60" s="21"/>
      <c r="G60" s="21"/>
      <c r="H60" s="21"/>
      <c r="I60" s="23"/>
      <c r="J60" s="24" t="str">
        <f aca="false">IF(AND(ISNUMBER(H60),ISNUMBER(I60)),H60*I60,"")</f>
        <v/>
      </c>
      <c r="K60" s="25" t="str">
        <f aca="false">IF(ISNUMBER(A60),WEEKNUM(A60,2),"")</f>
        <v/>
      </c>
      <c r="L60" s="25" t="str">
        <f aca="false">IF(OR(A60="",C60=""),"",IF(COUNTIFS($A$5:$A$64,A60,$C$5:$C$64,C60,$B$5:$B$64,"&lt;&gt;"&amp;B60)&gt;0,"Same site, same day, another department: consider combining",""))</f>
        <v/>
      </c>
    </row>
    <row r="61" customFormat="false" ht="15" hidden="false" customHeight="true" outlineLevel="0" collapsed="false">
      <c r="A61" s="20"/>
      <c r="B61" s="21"/>
      <c r="C61" s="21"/>
      <c r="D61" s="22"/>
      <c r="E61" s="22"/>
      <c r="F61" s="21"/>
      <c r="G61" s="21"/>
      <c r="H61" s="21"/>
      <c r="I61" s="23"/>
      <c r="J61" s="24" t="str">
        <f aca="false">IF(AND(ISNUMBER(H61),ISNUMBER(I61)),H61*I61,"")</f>
        <v/>
      </c>
      <c r="K61" s="25" t="str">
        <f aca="false">IF(ISNUMBER(A61),WEEKNUM(A61,2),"")</f>
        <v/>
      </c>
      <c r="L61" s="25" t="str">
        <f aca="false">IF(OR(A61="",C61=""),"",IF(COUNTIFS($A$5:$A$64,A61,$C$5:$C$64,C61,$B$5:$B$64,"&lt;&gt;"&amp;B61)&gt;0,"Same site, same day, another department: consider combining",""))</f>
        <v/>
      </c>
    </row>
    <row r="62" customFormat="false" ht="15" hidden="false" customHeight="true" outlineLevel="0" collapsed="false">
      <c r="A62" s="20"/>
      <c r="B62" s="21"/>
      <c r="C62" s="21"/>
      <c r="D62" s="22"/>
      <c r="E62" s="22"/>
      <c r="F62" s="21"/>
      <c r="G62" s="21"/>
      <c r="H62" s="21"/>
      <c r="I62" s="23"/>
      <c r="J62" s="24" t="str">
        <f aca="false">IF(AND(ISNUMBER(H62),ISNUMBER(I62)),H62*I62,"")</f>
        <v/>
      </c>
      <c r="K62" s="25" t="str">
        <f aca="false">IF(ISNUMBER(A62),WEEKNUM(A62,2),"")</f>
        <v/>
      </c>
      <c r="L62" s="25" t="str">
        <f aca="false">IF(OR(A62="",C62=""),"",IF(COUNTIFS($A$5:$A$64,A62,$C$5:$C$64,C62,$B$5:$B$64,"&lt;&gt;"&amp;B62)&gt;0,"Same site, same day, another department: consider combining",""))</f>
        <v/>
      </c>
    </row>
    <row r="63" customFormat="false" ht="15" hidden="false" customHeight="true" outlineLevel="0" collapsed="false">
      <c r="A63" s="20"/>
      <c r="B63" s="21"/>
      <c r="C63" s="21"/>
      <c r="D63" s="22"/>
      <c r="E63" s="22"/>
      <c r="F63" s="21"/>
      <c r="G63" s="21"/>
      <c r="H63" s="21"/>
      <c r="I63" s="23"/>
      <c r="J63" s="24" t="str">
        <f aca="false">IF(AND(ISNUMBER(H63),ISNUMBER(I63)),H63*I63,"")</f>
        <v/>
      </c>
      <c r="K63" s="25" t="str">
        <f aca="false">IF(ISNUMBER(A63),WEEKNUM(A63,2),"")</f>
        <v/>
      </c>
      <c r="L63" s="25" t="str">
        <f aca="false">IF(OR(A63="",C63=""),"",IF(COUNTIFS($A$5:$A$64,A63,$C$5:$C$64,C63,$B$5:$B$64,"&lt;&gt;"&amp;B63)&gt;0,"Same site, same day, another department: consider combining",""))</f>
        <v/>
      </c>
    </row>
    <row r="64" customFormat="false" ht="15" hidden="false" customHeight="true" outlineLevel="0" collapsed="false">
      <c r="A64" s="20"/>
      <c r="B64" s="21"/>
      <c r="C64" s="21"/>
      <c r="D64" s="22"/>
      <c r="E64" s="22"/>
      <c r="F64" s="21"/>
      <c r="G64" s="21"/>
      <c r="H64" s="21"/>
      <c r="I64" s="23"/>
      <c r="J64" s="24" t="str">
        <f aca="false">IF(AND(ISNUMBER(H64),ISNUMBER(I64)),H64*I64,"")</f>
        <v/>
      </c>
      <c r="K64" s="25" t="str">
        <f aca="false">IF(ISNUMBER(A64),WEEKNUM(A64,2),"")</f>
        <v/>
      </c>
      <c r="L64" s="25" t="str">
        <f aca="false">IF(OR(A64="",C64=""),"",IF(COUNTIFS($A$5:$A$64,A64,$C$5:$C$64,C64,$B$5:$B$64,"&lt;&gt;"&amp;B64)&gt;0,"Same site, same day, another department: consider combining",""))</f>
        <v/>
      </c>
    </row>
    <row r="66" customFormat="false" ht="15" hidden="false" customHeight="true" outlineLevel="0" collapsed="false">
      <c r="I66" s="17" t="s">
        <v>1145</v>
      </c>
      <c r="J66" s="18" t="n">
        <f aca="false">SUM(J5:J64)</f>
        <v>2610</v>
      </c>
    </row>
  </sheetData>
  <dataValidations count="3">
    <dataValidation allowBlank="true" errorStyle="stop" operator="between" showDropDown="false" showErrorMessage="false" showInputMessage="false" sqref="B5:B64" type="list">
      <formula1>Dim_Department!$B$2:$B$4</formula1>
      <formula2>0</formula2>
    </dataValidation>
    <dataValidation allowBlank="true" errorStyle="stop" operator="between" showDropDown="false" showErrorMessage="false" showInputMessage="false" sqref="C5:C64" type="list">
      <formula1>Dim_Site!$B$2:$B$106</formula1>
      <formula2>0</formula2>
    </dataValidation>
    <dataValidation allowBlank="true" errorStyle="stop" operator="between" showDropDown="false" showErrorMessage="false" showInputMessage="false" sqref="F5:F64" type="list">
      <formula1>Dim_Vehicle!$B$2:$B$10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2026-10-24T12:06:44Z</dcterms:created>
  <dc:creator>openpyxl</dc:creator>
  <dc:description/>
  <dc:language>en-US</dc:language>
  <cp:lastModifiedBy/>
  <dcterms:modified xsi:type="dcterms:W3CDTF">2026-10-24T12:06:50Z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